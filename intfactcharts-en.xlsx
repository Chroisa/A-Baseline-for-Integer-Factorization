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1000" activeTab="10"/>
  </bookViews>
  <sheets>
    <sheet name="Contents" sheetId="2" r:id="rId1"/>
    <sheet name="c30" sheetId="3" r:id="rId2"/>
    <sheet name="c60" sheetId="4" r:id="rId3"/>
    <sheet name="c65" sheetId="5" r:id="rId4"/>
    <sheet name="c70" sheetId="6" r:id="rId5"/>
    <sheet name="c75" sheetId="7" r:id="rId6"/>
    <sheet name="c80" sheetId="8" r:id="rId7"/>
    <sheet name="c85" sheetId="9" r:id="rId8"/>
    <sheet name="c90" sheetId="10" r:id="rId9"/>
    <sheet name="c95" sheetId="11" r:id="rId10"/>
    <sheet name="c100" sheetId="12" r:id="rId11"/>
    <sheet name="c105" sheetId="13" r:id="rId12"/>
    <sheet name="c110" sheetId="14" r:id="rId13"/>
    <sheet name="c115" sheetId="15" r:id="rId14"/>
    <sheet name="c120" sheetId="16" r:id="rId15"/>
    <sheet name="c125" sheetId="17" r:id="rId16"/>
    <sheet name="c130" sheetId="18" r:id="rId17"/>
    <sheet name="c135" sheetId="19" r:id="rId18"/>
    <sheet name="c140" sheetId="20" r:id="rId19"/>
    <sheet name="c145" sheetId="21" r:id="rId20"/>
    <sheet name="c150" sheetId="22" r:id="rId21"/>
    <sheet name="c155" sheetId="23" r:id="rId22"/>
    <sheet name="c160" sheetId="24" r:id="rId23"/>
    <sheet name="c165" sheetId="25" r:id="rId24"/>
    <sheet name="c170" sheetId="26" r:id="rId25"/>
    <sheet name="c175" sheetId="27" r:id="rId26"/>
    <sheet name="c180" sheetId="28" r:id="rId27"/>
    <sheet name="c185" sheetId="29" r:id="rId28"/>
    <sheet name="c190" sheetId="30" r:id="rId29"/>
    <sheet name="c195" sheetId="31" r:id="rId30"/>
    <sheet name="c200" sheetId="32" r:id="rId31"/>
    <sheet name="c205" sheetId="33" r:id="rId32"/>
    <sheet name="c210" sheetId="34" r:id="rId33"/>
    <sheet name="c220" sheetId="35" r:id="rId34"/>
    <sheet name="c230" sheetId="36" r:id="rId35"/>
    <sheet name="c270" sheetId="39" r:id="rId36"/>
    <sheet name="c310" sheetId="37" r:id="rId37"/>
    <sheet name="c320" sheetId="38" r:id="rId38"/>
    <sheet name="Index of Integers" sheetId="40" r:id="rId39"/>
    <sheet name="Index of Parameters" sheetId="42" r:id="rId40"/>
    <sheet name="Index of Results" sheetId="43" r:id="rId41"/>
    <sheet name="References" sheetId="41" r:id="rId4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3" l="1"/>
  <c r="O23" i="31"/>
  <c r="R4" i="14"/>
  <c r="R4" i="13"/>
  <c r="R4" i="12"/>
  <c r="R4" i="11"/>
  <c r="R4" i="10"/>
  <c r="R4" i="9"/>
  <c r="R4" i="8"/>
  <c r="R4" i="7"/>
  <c r="R4" i="6"/>
  <c r="R4" i="5"/>
  <c r="R4" i="4"/>
  <c r="F59" i="43"/>
  <c r="I58" i="43"/>
  <c r="J59" i="43"/>
  <c r="L59" i="43"/>
  <c r="J56" i="43"/>
  <c r="M56" i="43"/>
  <c r="F57" i="43"/>
  <c r="P56" i="43"/>
  <c r="L57" i="43"/>
  <c r="I57" i="43"/>
  <c r="H59" i="43"/>
  <c r="L58" i="43"/>
  <c r="G57" i="43"/>
  <c r="E57" i="43"/>
  <c r="O58" i="43"/>
  <c r="M58" i="43"/>
  <c r="K58" i="43"/>
  <c r="G56" i="43"/>
  <c r="L56" i="43"/>
  <c r="H58" i="43"/>
  <c r="E59" i="43"/>
  <c r="P57" i="43"/>
  <c r="K56" i="43"/>
  <c r="E56" i="43"/>
  <c r="O56" i="43"/>
  <c r="J58" i="43"/>
  <c r="H56" i="43"/>
  <c r="E58" i="43"/>
  <c r="G59" i="43"/>
  <c r="O57" i="43"/>
  <c r="E47" i="43"/>
  <c r="N59" i="43"/>
  <c r="F58" i="43"/>
  <c r="N57" i="43"/>
  <c r="H57" i="43"/>
  <c r="J57" i="43"/>
  <c r="P58" i="43"/>
  <c r="F56" i="43"/>
  <c r="G58" i="43"/>
  <c r="M57" i="43"/>
  <c r="N58" i="43"/>
  <c r="O59" i="43"/>
  <c r="I59" i="43"/>
  <c r="N56" i="43"/>
  <c r="K59" i="43"/>
  <c r="M59" i="43"/>
  <c r="K57" i="43"/>
  <c r="P59" i="43"/>
  <c r="I56" i="43"/>
  <c r="O23" i="30"/>
  <c r="AC22" i="43"/>
  <c r="Y22" i="43"/>
  <c r="N54" i="43"/>
  <c r="X22" i="43"/>
  <c r="AE22" i="43"/>
  <c r="M54" i="43"/>
  <c r="AA22" i="43"/>
  <c r="O54" i="43"/>
  <c r="Z22" i="43"/>
  <c r="P54" i="43"/>
  <c r="E20" i="43"/>
  <c r="AD22" i="43"/>
  <c r="AB22" i="43"/>
  <c r="AF22" i="43"/>
  <c r="O23" i="29"/>
  <c r="O23" i="28"/>
  <c r="K21" i="27"/>
  <c r="O23" i="27"/>
  <c r="O23" i="26"/>
  <c r="O23" i="22"/>
  <c r="O23" i="25"/>
  <c r="O23" i="24"/>
  <c r="O23" i="23"/>
  <c r="N54" i="38"/>
  <c r="M54" i="38"/>
  <c r="L54" i="38"/>
  <c r="K54" i="38"/>
  <c r="J54" i="38"/>
  <c r="J57" i="38"/>
  <c r="O57" i="38"/>
  <c r="M54" i="37"/>
  <c r="N54" i="37"/>
  <c r="O54" i="37"/>
  <c r="L54" i="37"/>
  <c r="K54" i="37"/>
  <c r="J54" i="37"/>
  <c r="N54" i="39"/>
  <c r="N58" i="39"/>
  <c r="M54" i="39"/>
  <c r="L54" i="39"/>
  <c r="K54" i="39"/>
  <c r="J54" i="39"/>
  <c r="N54" i="36"/>
  <c r="M54" i="36"/>
  <c r="L54" i="36"/>
  <c r="K54" i="36"/>
  <c r="J54" i="36"/>
  <c r="N54" i="35"/>
  <c r="M54" i="35"/>
  <c r="L54" i="35"/>
  <c r="L59" i="35"/>
  <c r="K54" i="35"/>
  <c r="J54" i="35"/>
  <c r="N54" i="34"/>
  <c r="M54" i="34"/>
  <c r="L54" i="34"/>
  <c r="K54" i="34"/>
  <c r="J54" i="34"/>
  <c r="N54" i="33"/>
  <c r="N58" i="33"/>
  <c r="M54" i="33"/>
  <c r="M56" i="33"/>
  <c r="L54" i="33"/>
  <c r="L57" i="33"/>
  <c r="K54" i="33"/>
  <c r="J54" i="33"/>
  <c r="N54" i="32"/>
  <c r="M54" i="32"/>
  <c r="L54" i="32"/>
  <c r="K54" i="32"/>
  <c r="K59" i="32"/>
  <c r="J54" i="32"/>
  <c r="N56" i="31"/>
  <c r="N61" i="31"/>
  <c r="M56" i="31"/>
  <c r="M58" i="31"/>
  <c r="L56" i="31"/>
  <c r="K56" i="31"/>
  <c r="L61" i="31"/>
  <c r="J56" i="31"/>
  <c r="J59" i="31"/>
  <c r="N56" i="30"/>
  <c r="N59" i="30"/>
  <c r="M56" i="30"/>
  <c r="M58" i="30"/>
  <c r="L56" i="30"/>
  <c r="L59" i="30"/>
  <c r="K56" i="30"/>
  <c r="K58" i="30"/>
  <c r="J56" i="30"/>
  <c r="J59" i="30"/>
  <c r="N56" i="29"/>
  <c r="M56" i="29"/>
  <c r="L56" i="29"/>
  <c r="L60" i="29"/>
  <c r="K56" i="29"/>
  <c r="K61" i="29"/>
  <c r="J56" i="29"/>
  <c r="J58" i="29"/>
  <c r="N56" i="28"/>
  <c r="N61" i="28"/>
  <c r="M56" i="28"/>
  <c r="M61" i="28"/>
  <c r="L56" i="28"/>
  <c r="L58" i="28"/>
  <c r="K56" i="28"/>
  <c r="J56" i="28"/>
  <c r="J58" i="28"/>
  <c r="N56" i="27"/>
  <c r="N60" i="27"/>
  <c r="M56" i="27"/>
  <c r="M60" i="27"/>
  <c r="L56" i="27"/>
  <c r="L60" i="27"/>
  <c r="K56" i="27"/>
  <c r="K60" i="27"/>
  <c r="J56" i="27"/>
  <c r="J61" i="27"/>
  <c r="N56" i="26"/>
  <c r="N60" i="26"/>
  <c r="M56" i="26"/>
  <c r="M60" i="26"/>
  <c r="L56" i="26"/>
  <c r="L61" i="26"/>
  <c r="K56" i="26"/>
  <c r="K60" i="26"/>
  <c r="J56" i="26"/>
  <c r="J58" i="26"/>
  <c r="N56" i="25"/>
  <c r="N59" i="25"/>
  <c r="M56" i="25"/>
  <c r="M60" i="25"/>
  <c r="L56" i="25"/>
  <c r="L59" i="25"/>
  <c r="K56" i="25"/>
  <c r="K59" i="25"/>
  <c r="J56" i="25"/>
  <c r="J59" i="25"/>
  <c r="N56" i="24"/>
  <c r="M56" i="24"/>
  <c r="M58" i="24"/>
  <c r="L56" i="24"/>
  <c r="L58" i="24"/>
  <c r="K56" i="24"/>
  <c r="K60" i="24"/>
  <c r="J56" i="24"/>
  <c r="J60" i="24"/>
  <c r="N56" i="23"/>
  <c r="N60" i="23"/>
  <c r="M56" i="23"/>
  <c r="M58" i="23"/>
  <c r="L56" i="23"/>
  <c r="L59" i="23"/>
  <c r="K56" i="23"/>
  <c r="K60" i="23"/>
  <c r="J56" i="23"/>
  <c r="J60" i="23"/>
  <c r="N56" i="22"/>
  <c r="N59" i="22"/>
  <c r="M56" i="22"/>
  <c r="M60" i="22"/>
  <c r="L56" i="22"/>
  <c r="L59" i="22"/>
  <c r="K56" i="22"/>
  <c r="K59" i="22"/>
  <c r="J56" i="22"/>
  <c r="J58" i="22"/>
  <c r="N54" i="21"/>
  <c r="M54" i="21"/>
  <c r="M57" i="21"/>
  <c r="L54" i="21"/>
  <c r="L56" i="21"/>
  <c r="K54" i="21"/>
  <c r="K59" i="21"/>
  <c r="J54" i="21"/>
  <c r="J57" i="21"/>
  <c r="N54" i="20"/>
  <c r="N56" i="20"/>
  <c r="M54" i="20"/>
  <c r="M59" i="20"/>
  <c r="L54" i="20"/>
  <c r="L58" i="20"/>
  <c r="K54" i="20"/>
  <c r="K57" i="20"/>
  <c r="J54" i="20"/>
  <c r="J57" i="20"/>
  <c r="N54" i="19"/>
  <c r="N58" i="19"/>
  <c r="M54" i="19"/>
  <c r="M57" i="19"/>
  <c r="L54" i="19"/>
  <c r="L59" i="19"/>
  <c r="K54" i="19"/>
  <c r="K59" i="19"/>
  <c r="J54" i="19"/>
  <c r="J56" i="19"/>
  <c r="N54" i="18"/>
  <c r="N56" i="18"/>
  <c r="M54" i="18"/>
  <c r="M57" i="18"/>
  <c r="L54" i="18"/>
  <c r="L59" i="18"/>
  <c r="K54" i="18"/>
  <c r="K58" i="18"/>
  <c r="J54" i="18"/>
  <c r="O54" i="18"/>
  <c r="N54" i="17"/>
  <c r="N59" i="17"/>
  <c r="M54" i="17"/>
  <c r="L54" i="17"/>
  <c r="L58" i="17"/>
  <c r="K54" i="17"/>
  <c r="K58" i="17"/>
  <c r="J54" i="17"/>
  <c r="N54" i="16"/>
  <c r="N56" i="16"/>
  <c r="M54" i="16"/>
  <c r="M58" i="16"/>
  <c r="L54" i="16"/>
  <c r="L57" i="16"/>
  <c r="K54" i="16"/>
  <c r="J54" i="16"/>
  <c r="N54" i="15"/>
  <c r="N58" i="15"/>
  <c r="M54" i="15"/>
  <c r="M58" i="15"/>
  <c r="L54" i="15"/>
  <c r="L56" i="15"/>
  <c r="K54" i="15"/>
  <c r="J54" i="15"/>
  <c r="N54" i="14"/>
  <c r="N57" i="14"/>
  <c r="M54" i="14"/>
  <c r="M59" i="14"/>
  <c r="L54" i="14"/>
  <c r="L58" i="14"/>
  <c r="K54" i="14"/>
  <c r="K59" i="14"/>
  <c r="J54" i="14"/>
  <c r="J59" i="14"/>
  <c r="N54" i="12"/>
  <c r="M54" i="12"/>
  <c r="L54" i="12"/>
  <c r="L57" i="12"/>
  <c r="K54" i="12"/>
  <c r="K59" i="12"/>
  <c r="J54" i="12"/>
  <c r="N54" i="11"/>
  <c r="M54" i="11"/>
  <c r="L54" i="11"/>
  <c r="L57" i="11"/>
  <c r="K54" i="11"/>
  <c r="J54" i="11"/>
  <c r="J56" i="11"/>
  <c r="N54" i="10"/>
  <c r="N59" i="10"/>
  <c r="M54" i="10"/>
  <c r="M58" i="10"/>
  <c r="L54" i="10"/>
  <c r="L56" i="10"/>
  <c r="K54" i="10"/>
  <c r="J54" i="10"/>
  <c r="N54" i="9"/>
  <c r="N58" i="9"/>
  <c r="M54" i="9"/>
  <c r="L54" i="9"/>
  <c r="K54" i="9"/>
  <c r="J54" i="9"/>
  <c r="J59" i="9"/>
  <c r="N54" i="8"/>
  <c r="M54" i="8"/>
  <c r="L54" i="8"/>
  <c r="K54" i="8"/>
  <c r="K58" i="8"/>
  <c r="J54" i="8"/>
  <c r="N54" i="7"/>
  <c r="M54" i="7"/>
  <c r="M59" i="7"/>
  <c r="L54" i="7"/>
  <c r="L57" i="7"/>
  <c r="K54" i="7"/>
  <c r="J54" i="7"/>
  <c r="N54" i="6"/>
  <c r="M54" i="6"/>
  <c r="L54" i="6"/>
  <c r="L58" i="6"/>
  <c r="K54" i="6"/>
  <c r="K58" i="6"/>
  <c r="J54" i="6"/>
  <c r="N54" i="5"/>
  <c r="N59" i="5"/>
  <c r="M54" i="5"/>
  <c r="L54" i="5"/>
  <c r="K54" i="5"/>
  <c r="K58" i="5"/>
  <c r="J54" i="5"/>
  <c r="N54" i="4"/>
  <c r="M54" i="4"/>
  <c r="L54" i="4"/>
  <c r="K54" i="4"/>
  <c r="K58" i="4"/>
  <c r="J54" i="4"/>
  <c r="N54" i="3"/>
  <c r="M54" i="3"/>
  <c r="L54" i="3"/>
  <c r="K54" i="3"/>
  <c r="J54" i="3"/>
  <c r="N54" i="13"/>
  <c r="N56" i="13"/>
  <c r="M54" i="13"/>
  <c r="M57" i="13"/>
  <c r="L54" i="13"/>
  <c r="L59" i="13"/>
  <c r="J54" i="13"/>
  <c r="K54" i="13"/>
  <c r="K57" i="13"/>
  <c r="O63" i="16"/>
  <c r="O63" i="15"/>
  <c r="O63" i="14"/>
  <c r="O63" i="13"/>
  <c r="O63" i="12"/>
  <c r="O63" i="11"/>
  <c r="O41" i="9"/>
  <c r="O49" i="38"/>
  <c r="O48" i="38"/>
  <c r="O47" i="38"/>
  <c r="O42" i="38"/>
  <c r="O41" i="38"/>
  <c r="O40" i="38"/>
  <c r="O39" i="38"/>
  <c r="O38" i="38"/>
  <c r="O25" i="38"/>
  <c r="O21" i="38"/>
  <c r="O17" i="38"/>
  <c r="O15" i="38"/>
  <c r="O13" i="38"/>
  <c r="O4" i="38"/>
  <c r="O49" i="37"/>
  <c r="O48" i="37"/>
  <c r="O47" i="37"/>
  <c r="O42" i="37"/>
  <c r="O41" i="37"/>
  <c r="O40" i="37"/>
  <c r="O39" i="37"/>
  <c r="O38" i="37"/>
  <c r="O25" i="37"/>
  <c r="O21" i="37"/>
  <c r="O17" i="37"/>
  <c r="O15" i="37"/>
  <c r="O13" i="37"/>
  <c r="O4" i="37"/>
  <c r="O56" i="39"/>
  <c r="O54" i="39"/>
  <c r="O49" i="39"/>
  <c r="O48" i="39"/>
  <c r="O47" i="39"/>
  <c r="O42" i="39"/>
  <c r="O41" i="39"/>
  <c r="O40" i="39"/>
  <c r="O39" i="39"/>
  <c r="O38" i="39"/>
  <c r="O25" i="39"/>
  <c r="O21" i="39"/>
  <c r="O17" i="39"/>
  <c r="O15" i="39"/>
  <c r="O13" i="39"/>
  <c r="O4" i="39"/>
  <c r="O59" i="36"/>
  <c r="O54" i="36"/>
  <c r="O49" i="36"/>
  <c r="O48" i="36"/>
  <c r="O47" i="36"/>
  <c r="O42" i="36"/>
  <c r="O41" i="36"/>
  <c r="O40" i="36"/>
  <c r="O39" i="36"/>
  <c r="O38" i="36"/>
  <c r="O25" i="36"/>
  <c r="O21" i="36"/>
  <c r="O17" i="36"/>
  <c r="O15" i="36"/>
  <c r="O13" i="36"/>
  <c r="O4" i="36"/>
  <c r="O59" i="35"/>
  <c r="O57" i="35"/>
  <c r="O49" i="35"/>
  <c r="O48" i="35"/>
  <c r="O47" i="35"/>
  <c r="O42" i="35"/>
  <c r="O41" i="35"/>
  <c r="O40" i="35"/>
  <c r="O39" i="35"/>
  <c r="O38" i="35"/>
  <c r="O25" i="35"/>
  <c r="O21" i="35"/>
  <c r="O17" i="35"/>
  <c r="O15" i="35"/>
  <c r="O13" i="35"/>
  <c r="O4" i="35"/>
  <c r="O59" i="34"/>
  <c r="O58" i="34"/>
  <c r="O57" i="34"/>
  <c r="O49" i="34"/>
  <c r="O48" i="34"/>
  <c r="O47" i="34"/>
  <c r="O42" i="34"/>
  <c r="O41" i="34"/>
  <c r="O40" i="34"/>
  <c r="O39" i="34"/>
  <c r="O38" i="34"/>
  <c r="O25" i="34"/>
  <c r="O21" i="34"/>
  <c r="O17" i="34"/>
  <c r="O15" i="34"/>
  <c r="O13" i="34"/>
  <c r="O4" i="34"/>
  <c r="O57" i="33"/>
  <c r="O56" i="33"/>
  <c r="O49" i="33"/>
  <c r="O48" i="33"/>
  <c r="O47" i="33"/>
  <c r="O42" i="33"/>
  <c r="O41" i="33"/>
  <c r="O40" i="33"/>
  <c r="O39" i="33"/>
  <c r="O38" i="33"/>
  <c r="O25" i="33"/>
  <c r="O21" i="33"/>
  <c r="O17" i="33"/>
  <c r="O15" i="33"/>
  <c r="O13" i="33"/>
  <c r="O4" i="33"/>
  <c r="O56" i="32"/>
  <c r="O54" i="32"/>
  <c r="O49" i="32"/>
  <c r="O48" i="32"/>
  <c r="O47" i="32"/>
  <c r="O42" i="32"/>
  <c r="O41" i="32"/>
  <c r="O40" i="32"/>
  <c r="O39" i="32"/>
  <c r="O38" i="32"/>
  <c r="O25" i="32"/>
  <c r="O21" i="32"/>
  <c r="O17" i="32"/>
  <c r="O15" i="32"/>
  <c r="O13" i="32"/>
  <c r="O4" i="32"/>
  <c r="O51" i="31"/>
  <c r="O50" i="31"/>
  <c r="O49" i="31"/>
  <c r="O44" i="31"/>
  <c r="O43" i="31"/>
  <c r="O42" i="31"/>
  <c r="O41" i="31"/>
  <c r="O40" i="31"/>
  <c r="O27" i="31"/>
  <c r="O21" i="31"/>
  <c r="O17" i="31"/>
  <c r="O15" i="31"/>
  <c r="O13" i="31"/>
  <c r="O4" i="31"/>
  <c r="O51" i="30"/>
  <c r="O50" i="30"/>
  <c r="O49" i="30"/>
  <c r="O44" i="30"/>
  <c r="O43" i="30"/>
  <c r="O42" i="30"/>
  <c r="O41" i="30"/>
  <c r="O40" i="30"/>
  <c r="O27" i="30"/>
  <c r="O21" i="30"/>
  <c r="O17" i="30"/>
  <c r="O15" i="30"/>
  <c r="O13" i="30"/>
  <c r="O4" i="30"/>
  <c r="O51" i="29"/>
  <c r="O50" i="29"/>
  <c r="O49" i="29"/>
  <c r="O44" i="29"/>
  <c r="O43" i="29"/>
  <c r="O42" i="29"/>
  <c r="O41" i="29"/>
  <c r="O40" i="29"/>
  <c r="O27" i="29"/>
  <c r="O21" i="29"/>
  <c r="O17" i="29"/>
  <c r="O15" i="29"/>
  <c r="O13" i="29"/>
  <c r="O4" i="29"/>
  <c r="O51" i="28"/>
  <c r="O50" i="28"/>
  <c r="O49" i="28"/>
  <c r="O44" i="28"/>
  <c r="O43" i="28"/>
  <c r="O42" i="28"/>
  <c r="O41" i="28"/>
  <c r="O40" i="28"/>
  <c r="O27" i="28"/>
  <c r="O21" i="28"/>
  <c r="O17" i="28"/>
  <c r="O15" i="28"/>
  <c r="O13" i="28"/>
  <c r="O4" i="28"/>
  <c r="O51" i="27"/>
  <c r="O50" i="27"/>
  <c r="O49" i="27"/>
  <c r="O44" i="27"/>
  <c r="O43" i="27"/>
  <c r="O42" i="27"/>
  <c r="O41" i="27"/>
  <c r="O40" i="27"/>
  <c r="O27" i="27"/>
  <c r="O21" i="27"/>
  <c r="O17" i="27"/>
  <c r="O15" i="27"/>
  <c r="O13" i="27"/>
  <c r="O4" i="27"/>
  <c r="O51" i="26"/>
  <c r="O50" i="26"/>
  <c r="O49" i="26"/>
  <c r="O44" i="26"/>
  <c r="O43" i="26"/>
  <c r="O42" i="26"/>
  <c r="O41" i="26"/>
  <c r="O40" i="26"/>
  <c r="O27" i="26"/>
  <c r="O21" i="26"/>
  <c r="O17" i="26"/>
  <c r="O15" i="26"/>
  <c r="O13" i="26"/>
  <c r="O4" i="26"/>
  <c r="O51" i="25"/>
  <c r="O50" i="25"/>
  <c r="O49" i="25"/>
  <c r="O44" i="25"/>
  <c r="O43" i="25"/>
  <c r="O42" i="25"/>
  <c r="O41" i="25"/>
  <c r="O40" i="25"/>
  <c r="O27" i="25"/>
  <c r="O21" i="25"/>
  <c r="O17" i="25"/>
  <c r="O15" i="25"/>
  <c r="O13" i="25"/>
  <c r="O4" i="25"/>
  <c r="O51" i="24"/>
  <c r="O50" i="24"/>
  <c r="O49" i="24"/>
  <c r="O44" i="24"/>
  <c r="O43" i="24"/>
  <c r="O42" i="24"/>
  <c r="O41" i="24"/>
  <c r="O40" i="24"/>
  <c r="O27" i="24"/>
  <c r="O21" i="24"/>
  <c r="O17" i="24"/>
  <c r="O15" i="24"/>
  <c r="O13" i="24"/>
  <c r="O4" i="24"/>
  <c r="O51" i="23"/>
  <c r="O50" i="23"/>
  <c r="O49" i="23"/>
  <c r="O44" i="23"/>
  <c r="O43" i="23"/>
  <c r="O42" i="23"/>
  <c r="O41" i="23"/>
  <c r="O40" i="23"/>
  <c r="O27" i="23"/>
  <c r="O21" i="23"/>
  <c r="O17" i="23"/>
  <c r="O15" i="23"/>
  <c r="O13" i="23"/>
  <c r="O4" i="23"/>
  <c r="O51" i="22"/>
  <c r="O50" i="22"/>
  <c r="O49" i="22"/>
  <c r="O44" i="22"/>
  <c r="O43" i="22"/>
  <c r="O42" i="22"/>
  <c r="O41" i="22"/>
  <c r="O40" i="22"/>
  <c r="O27" i="22"/>
  <c r="O21" i="22"/>
  <c r="O17" i="22"/>
  <c r="O15" i="22"/>
  <c r="O13" i="22"/>
  <c r="O4" i="22"/>
  <c r="O49" i="21"/>
  <c r="O48" i="21"/>
  <c r="O47" i="21"/>
  <c r="O42" i="21"/>
  <c r="O41" i="21"/>
  <c r="O40" i="21"/>
  <c r="O39" i="21"/>
  <c r="O38" i="21"/>
  <c r="O25" i="21"/>
  <c r="O21" i="21"/>
  <c r="O17" i="21"/>
  <c r="O15" i="21"/>
  <c r="O13" i="21"/>
  <c r="O4" i="21"/>
  <c r="O49" i="20"/>
  <c r="O48" i="20"/>
  <c r="O47" i="20"/>
  <c r="O42" i="20"/>
  <c r="O41" i="20"/>
  <c r="O40" i="20"/>
  <c r="O39" i="20"/>
  <c r="O38" i="20"/>
  <c r="O25" i="20"/>
  <c r="O21" i="20"/>
  <c r="O17" i="20"/>
  <c r="O15" i="20"/>
  <c r="O13" i="20"/>
  <c r="O4" i="20"/>
  <c r="O49" i="19"/>
  <c r="O48" i="19"/>
  <c r="O47" i="19"/>
  <c r="O42" i="19"/>
  <c r="O41" i="19"/>
  <c r="O40" i="19"/>
  <c r="O39" i="19"/>
  <c r="O38" i="19"/>
  <c r="O25" i="19"/>
  <c r="O21" i="19"/>
  <c r="O17" i="19"/>
  <c r="O15" i="19"/>
  <c r="O13" i="19"/>
  <c r="O4" i="19"/>
  <c r="O49" i="18"/>
  <c r="O48" i="18"/>
  <c r="O47" i="18"/>
  <c r="O42" i="18"/>
  <c r="O41" i="18"/>
  <c r="O40" i="18"/>
  <c r="O39" i="18"/>
  <c r="O38" i="18"/>
  <c r="O25" i="18"/>
  <c r="O21" i="18"/>
  <c r="O17" i="18"/>
  <c r="O15" i="18"/>
  <c r="O13" i="18"/>
  <c r="O4" i="18"/>
  <c r="O49" i="17"/>
  <c r="O48" i="17"/>
  <c r="O47" i="17"/>
  <c r="O42" i="17"/>
  <c r="O41" i="17"/>
  <c r="O40" i="17"/>
  <c r="O39" i="17"/>
  <c r="O38" i="17"/>
  <c r="O25" i="17"/>
  <c r="O21" i="17"/>
  <c r="O17" i="17"/>
  <c r="O15" i="17"/>
  <c r="O13" i="17"/>
  <c r="O4" i="17"/>
  <c r="O49" i="16"/>
  <c r="O48" i="16"/>
  <c r="O47" i="16"/>
  <c r="O42" i="16"/>
  <c r="O41" i="16"/>
  <c r="O40" i="16"/>
  <c r="O39" i="16"/>
  <c r="O38" i="16"/>
  <c r="O25" i="16"/>
  <c r="O21" i="16"/>
  <c r="O17" i="16"/>
  <c r="O15" i="16"/>
  <c r="O13" i="16"/>
  <c r="O4" i="16"/>
  <c r="O49" i="15"/>
  <c r="O48" i="15"/>
  <c r="O47" i="15"/>
  <c r="O42" i="15"/>
  <c r="O41" i="15"/>
  <c r="O40" i="15"/>
  <c r="O39" i="15"/>
  <c r="O38" i="15"/>
  <c r="O25" i="15"/>
  <c r="O21" i="15"/>
  <c r="O17" i="15"/>
  <c r="O15" i="15"/>
  <c r="O13" i="15"/>
  <c r="O4" i="15"/>
  <c r="O49" i="14"/>
  <c r="O48" i="14"/>
  <c r="O47" i="14"/>
  <c r="O42" i="14"/>
  <c r="O41" i="14"/>
  <c r="O40" i="14"/>
  <c r="O39" i="14"/>
  <c r="O38" i="14"/>
  <c r="O25" i="14"/>
  <c r="O21" i="14"/>
  <c r="O17" i="14"/>
  <c r="O15" i="14"/>
  <c r="O13" i="14"/>
  <c r="O4" i="14"/>
  <c r="O49" i="13"/>
  <c r="O48" i="13"/>
  <c r="O47" i="13"/>
  <c r="O42" i="13"/>
  <c r="O41" i="13"/>
  <c r="O40" i="13"/>
  <c r="O39" i="13"/>
  <c r="O38" i="13"/>
  <c r="O25" i="13"/>
  <c r="O21" i="13"/>
  <c r="O17" i="13"/>
  <c r="O15" i="13"/>
  <c r="O13" i="13"/>
  <c r="O4" i="13"/>
  <c r="O49" i="12"/>
  <c r="O48" i="12"/>
  <c r="O47" i="12"/>
  <c r="O42" i="12"/>
  <c r="O41" i="12"/>
  <c r="O40" i="12"/>
  <c r="O39" i="12"/>
  <c r="O38" i="12"/>
  <c r="O25" i="12"/>
  <c r="O21" i="12"/>
  <c r="O17" i="12"/>
  <c r="O15" i="12"/>
  <c r="O13" i="12"/>
  <c r="O4" i="12"/>
  <c r="O49" i="11"/>
  <c r="O48" i="11"/>
  <c r="O47" i="11"/>
  <c r="O42" i="11"/>
  <c r="O41" i="11"/>
  <c r="O40" i="11"/>
  <c r="O39" i="11"/>
  <c r="O38" i="11"/>
  <c r="O25" i="11"/>
  <c r="O21" i="11"/>
  <c r="O17" i="11"/>
  <c r="O15" i="11"/>
  <c r="O13" i="11"/>
  <c r="O4" i="11"/>
  <c r="O49" i="10"/>
  <c r="O48" i="10"/>
  <c r="O47" i="10"/>
  <c r="O42" i="10"/>
  <c r="O41" i="10"/>
  <c r="O40" i="10"/>
  <c r="O39" i="10"/>
  <c r="O38" i="10"/>
  <c r="O25" i="10"/>
  <c r="O21" i="10"/>
  <c r="O17" i="10"/>
  <c r="O15" i="10"/>
  <c r="O13" i="10"/>
  <c r="O4" i="10"/>
  <c r="O49" i="9"/>
  <c r="O48" i="9"/>
  <c r="O47" i="9"/>
  <c r="O42" i="9"/>
  <c r="O40" i="9"/>
  <c r="O39" i="9"/>
  <c r="O38" i="9"/>
  <c r="O25" i="9"/>
  <c r="O21" i="9"/>
  <c r="O17" i="9"/>
  <c r="O15" i="9"/>
  <c r="O13" i="9"/>
  <c r="O4" i="9"/>
  <c r="O49" i="8"/>
  <c r="O48" i="8"/>
  <c r="O47" i="8"/>
  <c r="O42" i="8"/>
  <c r="O41" i="8"/>
  <c r="O40" i="8"/>
  <c r="O39" i="8"/>
  <c r="O38" i="8"/>
  <c r="O25" i="8"/>
  <c r="O21" i="8"/>
  <c r="O17" i="8"/>
  <c r="O15" i="8"/>
  <c r="O13" i="8"/>
  <c r="O4" i="8"/>
  <c r="O49" i="7"/>
  <c r="O48" i="7"/>
  <c r="O47" i="7"/>
  <c r="O42" i="7"/>
  <c r="O41" i="7"/>
  <c r="O40" i="7"/>
  <c r="O39" i="7"/>
  <c r="O38" i="7"/>
  <c r="O25" i="7"/>
  <c r="O21" i="7"/>
  <c r="O17" i="7"/>
  <c r="O15" i="7"/>
  <c r="O13" i="7"/>
  <c r="O4" i="7"/>
  <c r="O49" i="6"/>
  <c r="O48" i="6"/>
  <c r="O47" i="6"/>
  <c r="O42" i="6"/>
  <c r="O41" i="6"/>
  <c r="O40" i="6"/>
  <c r="O39" i="6"/>
  <c r="O38" i="6"/>
  <c r="O25" i="6"/>
  <c r="O21" i="6"/>
  <c r="O17" i="6"/>
  <c r="O15" i="6"/>
  <c r="O13" i="6"/>
  <c r="O4" i="6"/>
  <c r="O49" i="5"/>
  <c r="O48" i="5"/>
  <c r="O47" i="5"/>
  <c r="O42" i="5"/>
  <c r="O41" i="5"/>
  <c r="O40" i="5"/>
  <c r="O39" i="5"/>
  <c r="O38" i="5"/>
  <c r="O25" i="5"/>
  <c r="O21" i="5"/>
  <c r="O17" i="5"/>
  <c r="O15" i="5"/>
  <c r="O13" i="5"/>
  <c r="O4" i="5"/>
  <c r="O49" i="4"/>
  <c r="O48" i="4"/>
  <c r="O47" i="4"/>
  <c r="O42" i="4"/>
  <c r="O41" i="4"/>
  <c r="O40" i="4"/>
  <c r="O39" i="4"/>
  <c r="O38" i="4"/>
  <c r="O25" i="4"/>
  <c r="O21" i="4"/>
  <c r="O17" i="4"/>
  <c r="O15" i="4"/>
  <c r="O13" i="4"/>
  <c r="O4" i="4"/>
  <c r="O54" i="3"/>
  <c r="O49" i="3"/>
  <c r="O48" i="3"/>
  <c r="O47" i="3"/>
  <c r="O42" i="3"/>
  <c r="O41" i="3"/>
  <c r="O40" i="3"/>
  <c r="O39" i="3"/>
  <c r="O38" i="3"/>
  <c r="O25" i="3"/>
  <c r="O21" i="3"/>
  <c r="O17" i="3"/>
  <c r="O15" i="3"/>
  <c r="O13" i="3"/>
  <c r="O4" i="3"/>
  <c r="M59" i="38"/>
  <c r="M61" i="38"/>
  <c r="L59" i="38"/>
  <c r="J59" i="38"/>
  <c r="O59" i="38"/>
  <c r="M58" i="38"/>
  <c r="L58" i="38"/>
  <c r="J58" i="38"/>
  <c r="O58" i="38"/>
  <c r="M57" i="38"/>
  <c r="L57" i="38"/>
  <c r="N58" i="38"/>
  <c r="M56" i="38"/>
  <c r="L56" i="38"/>
  <c r="K59" i="38"/>
  <c r="N58" i="37"/>
  <c r="M58" i="37"/>
  <c r="L59" i="37"/>
  <c r="K56" i="37"/>
  <c r="M56" i="39"/>
  <c r="K59" i="39"/>
  <c r="N59" i="36"/>
  <c r="L59" i="36"/>
  <c r="K59" i="36"/>
  <c r="M59" i="35"/>
  <c r="K59" i="35"/>
  <c r="M58" i="33"/>
  <c r="K59" i="33"/>
  <c r="M59" i="32"/>
  <c r="K58" i="31"/>
  <c r="K60" i="30"/>
  <c r="N61" i="29"/>
  <c r="M61" i="29"/>
  <c r="M58" i="18"/>
  <c r="K59" i="16"/>
  <c r="N56" i="12"/>
  <c r="M57" i="12"/>
  <c r="N58" i="11"/>
  <c r="M59" i="11"/>
  <c r="K58" i="11"/>
  <c r="K58" i="10"/>
  <c r="N56" i="9"/>
  <c r="M58" i="9"/>
  <c r="L57" i="9"/>
  <c r="K57" i="9"/>
  <c r="N59" i="8"/>
  <c r="M59" i="8"/>
  <c r="L59" i="8"/>
  <c r="K59" i="8"/>
  <c r="N59" i="7"/>
  <c r="K58" i="7"/>
  <c r="N57" i="6"/>
  <c r="M58" i="6"/>
  <c r="M59" i="5"/>
  <c r="L57" i="5"/>
  <c r="N58" i="4"/>
  <c r="L58" i="4"/>
  <c r="N59" i="3"/>
  <c r="M59" i="3"/>
  <c r="L56" i="3"/>
  <c r="K59" i="3"/>
  <c r="N59" i="37"/>
  <c r="M59" i="37"/>
  <c r="K59" i="37"/>
  <c r="N57" i="37"/>
  <c r="N61" i="37"/>
  <c r="M57" i="37"/>
  <c r="M61" i="37"/>
  <c r="K57" i="37"/>
  <c r="J59" i="37"/>
  <c r="O59" i="37"/>
  <c r="M59" i="39"/>
  <c r="L59" i="39"/>
  <c r="M58" i="39"/>
  <c r="L58" i="39"/>
  <c r="K58" i="39"/>
  <c r="M57" i="39"/>
  <c r="L57" i="39"/>
  <c r="J57" i="39"/>
  <c r="O57" i="39"/>
  <c r="L56" i="39"/>
  <c r="K56" i="39"/>
  <c r="J56" i="39"/>
  <c r="M59" i="36"/>
  <c r="N58" i="36"/>
  <c r="M58" i="36"/>
  <c r="M57" i="36"/>
  <c r="M61" i="36"/>
  <c r="N56" i="36"/>
  <c r="M56" i="36"/>
  <c r="J59" i="36"/>
  <c r="N59" i="35"/>
  <c r="N58" i="35"/>
  <c r="M58" i="35"/>
  <c r="K58" i="35"/>
  <c r="N57" i="35"/>
  <c r="N61" i="35"/>
  <c r="J57" i="35"/>
  <c r="N56" i="35"/>
  <c r="M56" i="35"/>
  <c r="K56" i="35"/>
  <c r="J59" i="35"/>
  <c r="N59" i="34"/>
  <c r="M59" i="34"/>
  <c r="L59" i="34"/>
  <c r="K59" i="34"/>
  <c r="N58" i="34"/>
  <c r="M58" i="34"/>
  <c r="L58" i="34"/>
  <c r="K58" i="34"/>
  <c r="J58" i="34"/>
  <c r="N57" i="34"/>
  <c r="N61" i="34"/>
  <c r="M57" i="34"/>
  <c r="L57" i="34"/>
  <c r="K57" i="34"/>
  <c r="J57" i="34"/>
  <c r="N56" i="34"/>
  <c r="M56" i="34"/>
  <c r="L56" i="34"/>
  <c r="K56" i="34"/>
  <c r="J56" i="34"/>
  <c r="O56" i="34"/>
  <c r="J59" i="34"/>
  <c r="L58" i="33"/>
  <c r="K58" i="33"/>
  <c r="M57" i="33"/>
  <c r="J57" i="33"/>
  <c r="J56" i="33"/>
  <c r="N59" i="32"/>
  <c r="L59" i="32"/>
  <c r="N58" i="32"/>
  <c r="M58" i="32"/>
  <c r="L58" i="32"/>
  <c r="K58" i="32"/>
  <c r="N57" i="32"/>
  <c r="N61" i="32"/>
  <c r="L57" i="32"/>
  <c r="L61" i="32"/>
  <c r="K57" i="32"/>
  <c r="N56" i="32"/>
  <c r="M56" i="32"/>
  <c r="L56" i="32"/>
  <c r="J56" i="32"/>
  <c r="K61" i="31"/>
  <c r="N60" i="31"/>
  <c r="L59" i="31"/>
  <c r="K59" i="31"/>
  <c r="L58" i="31"/>
  <c r="K61" i="30"/>
  <c r="K59" i="30"/>
  <c r="N60" i="29"/>
  <c r="N58" i="29"/>
  <c r="L61" i="28"/>
  <c r="K61" i="28"/>
  <c r="K60" i="28"/>
  <c r="K59" i="28"/>
  <c r="K58" i="28"/>
  <c r="K61" i="26"/>
  <c r="L60" i="26"/>
  <c r="N61" i="24"/>
  <c r="L61" i="24"/>
  <c r="K61" i="24"/>
  <c r="L61" i="23"/>
  <c r="L60" i="23"/>
  <c r="N59" i="21"/>
  <c r="M59" i="21"/>
  <c r="N58" i="21"/>
  <c r="J58" i="21"/>
  <c r="N57" i="21"/>
  <c r="N56" i="21"/>
  <c r="N59" i="20"/>
  <c r="M57" i="20"/>
  <c r="L58" i="18"/>
  <c r="M56" i="18"/>
  <c r="L56" i="18"/>
  <c r="L59" i="17"/>
  <c r="N58" i="17"/>
  <c r="M58" i="17"/>
  <c r="N57" i="17"/>
  <c r="M57" i="17"/>
  <c r="L57" i="17"/>
  <c r="N56" i="17"/>
  <c r="M56" i="17"/>
  <c r="L56" i="17"/>
  <c r="J59" i="17"/>
  <c r="N58" i="16"/>
  <c r="M56" i="16"/>
  <c r="J56" i="16"/>
  <c r="N59" i="15"/>
  <c r="K59" i="15"/>
  <c r="K58" i="15"/>
  <c r="K57" i="15"/>
  <c r="K56" i="15"/>
  <c r="J56" i="15"/>
  <c r="M56" i="14"/>
  <c r="L56" i="13"/>
  <c r="J56" i="13"/>
  <c r="J56" i="12"/>
  <c r="J59" i="10"/>
  <c r="N56" i="8"/>
  <c r="K56" i="8"/>
  <c r="J59" i="8"/>
  <c r="J56" i="7"/>
  <c r="N59" i="6"/>
  <c r="M59" i="6"/>
  <c r="J56" i="6"/>
  <c r="J58" i="5"/>
  <c r="L59" i="4"/>
  <c r="J58" i="4"/>
  <c r="L59" i="3"/>
  <c r="E4" i="42"/>
  <c r="E42" i="42"/>
  <c r="E41" i="42"/>
  <c r="E40" i="42"/>
  <c r="E39" i="42"/>
  <c r="E38" i="42"/>
  <c r="E37" i="42"/>
  <c r="E36" i="42"/>
  <c r="E34" i="42"/>
  <c r="E33" i="42"/>
  <c r="E32" i="42"/>
  <c r="E31" i="42"/>
  <c r="E30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5" i="42"/>
  <c r="E14" i="42"/>
  <c r="E12" i="42"/>
  <c r="E11" i="42"/>
  <c r="E10" i="42"/>
  <c r="E9" i="42"/>
  <c r="E8" i="42"/>
  <c r="E7" i="42"/>
  <c r="E6" i="42"/>
  <c r="E5" i="42"/>
  <c r="J59" i="3"/>
  <c r="J61" i="31"/>
  <c r="J63" i="31"/>
  <c r="O63" i="31"/>
  <c r="O56" i="31"/>
  <c r="N58" i="31"/>
  <c r="M60" i="31"/>
  <c r="J58" i="30"/>
  <c r="N60" i="30"/>
  <c r="O56" i="30"/>
  <c r="N58" i="30"/>
  <c r="N61" i="30"/>
  <c r="N63" i="30"/>
  <c r="L58" i="30"/>
  <c r="K63" i="30"/>
  <c r="M60" i="30"/>
  <c r="L61" i="30"/>
  <c r="L63" i="30"/>
  <c r="L60" i="30"/>
  <c r="L59" i="29"/>
  <c r="L63" i="29"/>
  <c r="L61" i="29"/>
  <c r="K58" i="29"/>
  <c r="L58" i="29"/>
  <c r="K60" i="29"/>
  <c r="O56" i="29"/>
  <c r="L59" i="28"/>
  <c r="L63" i="28"/>
  <c r="K63" i="28"/>
  <c r="L60" i="28"/>
  <c r="N59" i="28"/>
  <c r="N63" i="28"/>
  <c r="M60" i="28"/>
  <c r="M58" i="28"/>
  <c r="M59" i="27"/>
  <c r="O56" i="27"/>
  <c r="N58" i="27"/>
  <c r="J59" i="27"/>
  <c r="J60" i="27"/>
  <c r="O60" i="27"/>
  <c r="L58" i="26"/>
  <c r="L59" i="26"/>
  <c r="L63" i="26"/>
  <c r="K59" i="26"/>
  <c r="K63" i="26"/>
  <c r="M59" i="26"/>
  <c r="M61" i="26"/>
  <c r="N59" i="26"/>
  <c r="N61" i="26"/>
  <c r="K58" i="26"/>
  <c r="M58" i="26"/>
  <c r="N58" i="26"/>
  <c r="N60" i="25"/>
  <c r="N61" i="25"/>
  <c r="N63" i="25"/>
  <c r="N58" i="25"/>
  <c r="L60" i="25"/>
  <c r="K60" i="25"/>
  <c r="M61" i="24"/>
  <c r="M63" i="24"/>
  <c r="M60" i="24"/>
  <c r="M59" i="24"/>
  <c r="L60" i="24"/>
  <c r="L59" i="24"/>
  <c r="L63" i="24"/>
  <c r="O54" i="4"/>
  <c r="K59" i="4"/>
  <c r="K61" i="4"/>
  <c r="O58" i="4"/>
  <c r="M59" i="4"/>
  <c r="M58" i="4"/>
  <c r="N58" i="5"/>
  <c r="O54" i="7"/>
  <c r="O54" i="8"/>
  <c r="O59" i="8"/>
  <c r="K56" i="12"/>
  <c r="K58" i="12"/>
  <c r="K56" i="18"/>
  <c r="K59" i="18"/>
  <c r="K61" i="18"/>
  <c r="L57" i="18"/>
  <c r="N59" i="18"/>
  <c r="M56" i="19"/>
  <c r="M59" i="19"/>
  <c r="N56" i="19"/>
  <c r="N57" i="19"/>
  <c r="N59" i="19"/>
  <c r="J56" i="20"/>
  <c r="M58" i="20"/>
  <c r="N57" i="20"/>
  <c r="N61" i="20"/>
  <c r="N58" i="20"/>
  <c r="K57" i="21"/>
  <c r="L59" i="21"/>
  <c r="M56" i="21"/>
  <c r="K58" i="24"/>
  <c r="K59" i="24"/>
  <c r="K63" i="24"/>
  <c r="O56" i="24"/>
  <c r="J59" i="24"/>
  <c r="N61" i="23"/>
  <c r="N58" i="23"/>
  <c r="L58" i="23"/>
  <c r="J61" i="23"/>
  <c r="N58" i="22"/>
  <c r="N61" i="22"/>
  <c r="N63" i="22"/>
  <c r="M58" i="22"/>
  <c r="M61" i="22"/>
  <c r="K60" i="22"/>
  <c r="K61" i="25"/>
  <c r="K63" i="25"/>
  <c r="O56" i="25"/>
  <c r="L58" i="25"/>
  <c r="L61" i="25"/>
  <c r="L63" i="25"/>
  <c r="N59" i="24"/>
  <c r="N63" i="24"/>
  <c r="N60" i="24"/>
  <c r="M59" i="23"/>
  <c r="N59" i="23"/>
  <c r="M61" i="23"/>
  <c r="O56" i="23"/>
  <c r="M60" i="23"/>
  <c r="O60" i="23"/>
  <c r="N60" i="22"/>
  <c r="L61" i="22"/>
  <c r="L63" i="22"/>
  <c r="L60" i="22"/>
  <c r="M59" i="22"/>
  <c r="O56" i="22"/>
  <c r="K61" i="22"/>
  <c r="K63" i="22"/>
  <c r="L57" i="21"/>
  <c r="L61" i="21"/>
  <c r="L58" i="21"/>
  <c r="K58" i="21"/>
  <c r="K56" i="21"/>
  <c r="J56" i="21"/>
  <c r="M61" i="20"/>
  <c r="L59" i="20"/>
  <c r="O54" i="20"/>
  <c r="L57" i="20"/>
  <c r="L61" i="20"/>
  <c r="K56" i="20"/>
  <c r="K59" i="20"/>
  <c r="K61" i="20"/>
  <c r="N61" i="19"/>
  <c r="M58" i="19"/>
  <c r="M61" i="19"/>
  <c r="N58" i="18"/>
  <c r="K57" i="18"/>
  <c r="J58" i="18"/>
  <c r="J59" i="18"/>
  <c r="N61" i="17"/>
  <c r="N59" i="16"/>
  <c r="M59" i="16"/>
  <c r="O54" i="16"/>
  <c r="N57" i="15"/>
  <c r="N61" i="15"/>
  <c r="M59" i="15"/>
  <c r="M56" i="15"/>
  <c r="M57" i="15"/>
  <c r="M61" i="15"/>
  <c r="L59" i="15"/>
  <c r="L57" i="15"/>
  <c r="L61" i="15"/>
  <c r="L58" i="15"/>
  <c r="K61" i="15"/>
  <c r="N58" i="14"/>
  <c r="N59" i="14"/>
  <c r="N61" i="14"/>
  <c r="N56" i="14"/>
  <c r="M58" i="14"/>
  <c r="M57" i="14"/>
  <c r="M61" i="14"/>
  <c r="L56" i="14"/>
  <c r="L57" i="14"/>
  <c r="L59" i="14"/>
  <c r="K58" i="14"/>
  <c r="K56" i="14"/>
  <c r="K57" i="14"/>
  <c r="K61" i="14"/>
  <c r="O54" i="14"/>
  <c r="N58" i="13"/>
  <c r="N57" i="13"/>
  <c r="M59" i="13"/>
  <c r="M61" i="13"/>
  <c r="M58" i="13"/>
  <c r="M56" i="13"/>
  <c r="L58" i="13"/>
  <c r="L61" i="38"/>
  <c r="J61" i="38"/>
  <c r="O61" i="38"/>
  <c r="J56" i="38"/>
  <c r="O56" i="38"/>
  <c r="O54" i="38"/>
  <c r="M61" i="39"/>
  <c r="L58" i="35"/>
  <c r="O54" i="35"/>
  <c r="L56" i="35"/>
  <c r="M61" i="34"/>
  <c r="O54" i="34"/>
  <c r="N56" i="33"/>
  <c r="M59" i="33"/>
  <c r="M61" i="33"/>
  <c r="L56" i="33"/>
  <c r="L59" i="33"/>
  <c r="L61" i="33"/>
  <c r="O54" i="33"/>
  <c r="K56" i="32"/>
  <c r="K61" i="32"/>
  <c r="K60" i="31"/>
  <c r="L60" i="31"/>
  <c r="L63" i="31"/>
  <c r="K63" i="31"/>
  <c r="O56" i="28"/>
  <c r="N60" i="28"/>
  <c r="N58" i="28"/>
  <c r="M59" i="28"/>
  <c r="M63" i="28"/>
  <c r="O56" i="26"/>
  <c r="N58" i="24"/>
  <c r="K61" i="23"/>
  <c r="K59" i="23"/>
  <c r="K63" i="23"/>
  <c r="K58" i="23"/>
  <c r="O54" i="21"/>
  <c r="O54" i="19"/>
  <c r="N57" i="18"/>
  <c r="O54" i="17"/>
  <c r="M59" i="17"/>
  <c r="L61" i="17"/>
  <c r="O54" i="15"/>
  <c r="O54" i="6"/>
  <c r="O54" i="5"/>
  <c r="O59" i="3"/>
  <c r="N59" i="13"/>
  <c r="K56" i="13"/>
  <c r="O54" i="13"/>
  <c r="J57" i="13"/>
  <c r="N59" i="12"/>
  <c r="N57" i="12"/>
  <c r="N58" i="12"/>
  <c r="M58" i="12"/>
  <c r="M56" i="12"/>
  <c r="M59" i="12"/>
  <c r="M61" i="12"/>
  <c r="L56" i="12"/>
  <c r="L58" i="12"/>
  <c r="L59" i="12"/>
  <c r="L61" i="12"/>
  <c r="O54" i="12"/>
  <c r="N57" i="11"/>
  <c r="N59" i="11"/>
  <c r="M57" i="11"/>
  <c r="M61" i="11"/>
  <c r="M56" i="11"/>
  <c r="M58" i="11"/>
  <c r="L58" i="11"/>
  <c r="L59" i="11"/>
  <c r="L61" i="11"/>
  <c r="L56" i="11"/>
  <c r="O54" i="11"/>
  <c r="N56" i="10"/>
  <c r="N57" i="10"/>
  <c r="N61" i="10"/>
  <c r="N58" i="10"/>
  <c r="M56" i="10"/>
  <c r="M59" i="10"/>
  <c r="M57" i="10"/>
  <c r="M61" i="10"/>
  <c r="L59" i="10"/>
  <c r="L58" i="10"/>
  <c r="L57" i="10"/>
  <c r="K57" i="10"/>
  <c r="K59" i="10"/>
  <c r="K61" i="10"/>
  <c r="O54" i="10"/>
  <c r="O54" i="9"/>
  <c r="L57" i="6"/>
  <c r="L61" i="6"/>
  <c r="K59" i="6"/>
  <c r="L59" i="6"/>
  <c r="J57" i="9"/>
  <c r="J61" i="9"/>
  <c r="N58" i="8"/>
  <c r="M56" i="8"/>
  <c r="M58" i="8"/>
  <c r="L56" i="8"/>
  <c r="L58" i="8"/>
  <c r="K56" i="38"/>
  <c r="N57" i="38"/>
  <c r="K58" i="38"/>
  <c r="N59" i="38"/>
  <c r="N56" i="38"/>
  <c r="K57" i="38"/>
  <c r="K61" i="38"/>
  <c r="L57" i="37"/>
  <c r="L61" i="37"/>
  <c r="K58" i="37"/>
  <c r="L56" i="37"/>
  <c r="M56" i="37"/>
  <c r="L58" i="37"/>
  <c r="N56" i="37"/>
  <c r="K61" i="37"/>
  <c r="N57" i="39"/>
  <c r="N59" i="39"/>
  <c r="L61" i="39"/>
  <c r="N56" i="39"/>
  <c r="K57" i="39"/>
  <c r="K61" i="39"/>
  <c r="N57" i="36"/>
  <c r="N61" i="36"/>
  <c r="K56" i="36"/>
  <c r="K58" i="36"/>
  <c r="L56" i="36"/>
  <c r="L58" i="36"/>
  <c r="K57" i="36"/>
  <c r="K61" i="36"/>
  <c r="L57" i="36"/>
  <c r="L61" i="36"/>
  <c r="K57" i="35"/>
  <c r="K61" i="35"/>
  <c r="L57" i="35"/>
  <c r="L61" i="35"/>
  <c r="M57" i="35"/>
  <c r="M61" i="35"/>
  <c r="K61" i="34"/>
  <c r="L61" i="34"/>
  <c r="K56" i="33"/>
  <c r="N57" i="33"/>
  <c r="N59" i="33"/>
  <c r="K57" i="33"/>
  <c r="K61" i="33"/>
  <c r="M57" i="32"/>
  <c r="M61" i="32"/>
  <c r="M59" i="31"/>
  <c r="M61" i="31"/>
  <c r="O61" i="31"/>
  <c r="N59" i="31"/>
  <c r="N63" i="31"/>
  <c r="M59" i="30"/>
  <c r="O59" i="30"/>
  <c r="M61" i="30"/>
  <c r="M58" i="29"/>
  <c r="O58" i="29"/>
  <c r="K59" i="29"/>
  <c r="K63" i="29"/>
  <c r="M60" i="29"/>
  <c r="M59" i="29"/>
  <c r="M63" i="29"/>
  <c r="N59" i="29"/>
  <c r="N63" i="29"/>
  <c r="K59" i="27"/>
  <c r="K61" i="27"/>
  <c r="K58" i="27"/>
  <c r="M61" i="27"/>
  <c r="M63" i="27"/>
  <c r="L58" i="27"/>
  <c r="M58" i="27"/>
  <c r="L59" i="27"/>
  <c r="L61" i="27"/>
  <c r="L63" i="27"/>
  <c r="N59" i="27"/>
  <c r="N61" i="27"/>
  <c r="M59" i="25"/>
  <c r="O59" i="25"/>
  <c r="M61" i="25"/>
  <c r="K58" i="25"/>
  <c r="M58" i="25"/>
  <c r="L63" i="23"/>
  <c r="K58" i="22"/>
  <c r="L58" i="22"/>
  <c r="M58" i="21"/>
  <c r="K61" i="21"/>
  <c r="L56" i="20"/>
  <c r="K58" i="20"/>
  <c r="M56" i="20"/>
  <c r="K56" i="19"/>
  <c r="K58" i="19"/>
  <c r="L56" i="19"/>
  <c r="L58" i="19"/>
  <c r="K57" i="19"/>
  <c r="K61" i="19"/>
  <c r="L57" i="19"/>
  <c r="L61" i="19"/>
  <c r="M59" i="18"/>
  <c r="M61" i="18"/>
  <c r="K57" i="17"/>
  <c r="K59" i="17"/>
  <c r="K56" i="17"/>
  <c r="K57" i="16"/>
  <c r="K61" i="16"/>
  <c r="L59" i="16"/>
  <c r="L61" i="16"/>
  <c r="M57" i="16"/>
  <c r="M61" i="16"/>
  <c r="N57" i="16"/>
  <c r="N61" i="16"/>
  <c r="K56" i="16"/>
  <c r="K58" i="16"/>
  <c r="L56" i="16"/>
  <c r="L58" i="16"/>
  <c r="N56" i="15"/>
  <c r="K58" i="13"/>
  <c r="K59" i="13"/>
  <c r="K61" i="13"/>
  <c r="L57" i="13"/>
  <c r="L61" i="13"/>
  <c r="K57" i="12"/>
  <c r="K61" i="12"/>
  <c r="N56" i="11"/>
  <c r="K57" i="11"/>
  <c r="K59" i="11"/>
  <c r="K56" i="11"/>
  <c r="K56" i="10"/>
  <c r="L59" i="9"/>
  <c r="L61" i="9"/>
  <c r="M57" i="9"/>
  <c r="N57" i="9"/>
  <c r="M56" i="9"/>
  <c r="L58" i="9"/>
  <c r="K59" i="9"/>
  <c r="M59" i="9"/>
  <c r="K56" i="9"/>
  <c r="N59" i="9"/>
  <c r="L56" i="9"/>
  <c r="K58" i="9"/>
  <c r="L57" i="8"/>
  <c r="L61" i="8"/>
  <c r="M57" i="8"/>
  <c r="M61" i="8"/>
  <c r="N57" i="8"/>
  <c r="N61" i="8"/>
  <c r="K57" i="8"/>
  <c r="K61" i="8"/>
  <c r="J57" i="8"/>
  <c r="J58" i="8"/>
  <c r="M56" i="7"/>
  <c r="M57" i="7"/>
  <c r="M61" i="7"/>
  <c r="M58" i="7"/>
  <c r="L56" i="7"/>
  <c r="L58" i="7"/>
  <c r="L59" i="7"/>
  <c r="L61" i="7"/>
  <c r="J56" i="37"/>
  <c r="O56" i="37"/>
  <c r="J58" i="37"/>
  <c r="O58" i="37"/>
  <c r="J57" i="37"/>
  <c r="J58" i="39"/>
  <c r="O58" i="39"/>
  <c r="J57" i="36"/>
  <c r="O57" i="36"/>
  <c r="J56" i="36"/>
  <c r="O56" i="36"/>
  <c r="J61" i="35"/>
  <c r="O61" i="35"/>
  <c r="J56" i="35"/>
  <c r="O56" i="35"/>
  <c r="J58" i="35"/>
  <c r="O58" i="35"/>
  <c r="J58" i="32"/>
  <c r="O58" i="32"/>
  <c r="J58" i="27"/>
  <c r="J60" i="26"/>
  <c r="O60" i="26"/>
  <c r="J59" i="26"/>
  <c r="J59" i="23"/>
  <c r="J58" i="23"/>
  <c r="J60" i="22"/>
  <c r="J59" i="22"/>
  <c r="N61" i="21"/>
  <c r="M61" i="21"/>
  <c r="J57" i="19"/>
  <c r="J57" i="18"/>
  <c r="L61" i="18"/>
  <c r="L61" i="14"/>
  <c r="J56" i="14"/>
  <c r="J58" i="14"/>
  <c r="J57" i="14"/>
  <c r="J56" i="18"/>
  <c r="O56" i="18"/>
  <c r="J57" i="17"/>
  <c r="J57" i="16"/>
  <c r="J58" i="16"/>
  <c r="J58" i="15"/>
  <c r="J57" i="15"/>
  <c r="J58" i="13"/>
  <c r="J58" i="9"/>
  <c r="N56" i="7"/>
  <c r="N58" i="7"/>
  <c r="K57" i="7"/>
  <c r="K59" i="7"/>
  <c r="N57" i="7"/>
  <c r="N61" i="7"/>
  <c r="K56" i="7"/>
  <c r="J57" i="7"/>
  <c r="J56" i="10"/>
  <c r="J57" i="10"/>
  <c r="J58" i="11"/>
  <c r="J56" i="9"/>
  <c r="J56" i="8"/>
  <c r="J58" i="7"/>
  <c r="K57" i="6"/>
  <c r="N56" i="6"/>
  <c r="N58" i="6"/>
  <c r="N61" i="6"/>
  <c r="M57" i="6"/>
  <c r="M61" i="6"/>
  <c r="K56" i="6"/>
  <c r="L56" i="6"/>
  <c r="M56" i="6"/>
  <c r="J58" i="6"/>
  <c r="J57" i="6"/>
  <c r="N56" i="5"/>
  <c r="N57" i="5"/>
  <c r="N61" i="5"/>
  <c r="L56" i="5"/>
  <c r="M56" i="5"/>
  <c r="M57" i="5"/>
  <c r="M61" i="5"/>
  <c r="M58" i="5"/>
  <c r="L59" i="5"/>
  <c r="L61" i="5"/>
  <c r="L58" i="5"/>
  <c r="K57" i="5"/>
  <c r="K59" i="5"/>
  <c r="K56" i="5"/>
  <c r="J57" i="5"/>
  <c r="M56" i="4"/>
  <c r="M57" i="4"/>
  <c r="M61" i="4"/>
  <c r="L56" i="4"/>
  <c r="L57" i="4"/>
  <c r="L61" i="4"/>
  <c r="K56" i="4"/>
  <c r="K57" i="4"/>
  <c r="N57" i="4"/>
  <c r="N59" i="4"/>
  <c r="N56" i="4"/>
  <c r="J57" i="4"/>
  <c r="K56" i="3"/>
  <c r="K57" i="3"/>
  <c r="K58" i="3"/>
  <c r="L58" i="3"/>
  <c r="L57" i="3"/>
  <c r="L61" i="3"/>
  <c r="N57" i="3"/>
  <c r="N61" i="3"/>
  <c r="N56" i="3"/>
  <c r="N58" i="3"/>
  <c r="M58" i="3"/>
  <c r="M56" i="3"/>
  <c r="M57" i="3"/>
  <c r="M61" i="3"/>
  <c r="K61" i="3"/>
  <c r="J59" i="39"/>
  <c r="J58" i="36"/>
  <c r="O58" i="36"/>
  <c r="J61" i="34"/>
  <c r="O61" i="34"/>
  <c r="J58" i="33"/>
  <c r="O58" i="33"/>
  <c r="J59" i="33"/>
  <c r="J57" i="32"/>
  <c r="O57" i="32"/>
  <c r="J59" i="32"/>
  <c r="O59" i="32"/>
  <c r="J58" i="31"/>
  <c r="J60" i="31"/>
  <c r="J60" i="30"/>
  <c r="J61" i="30"/>
  <c r="J60" i="29"/>
  <c r="J61" i="29"/>
  <c r="J59" i="29"/>
  <c r="J60" i="28"/>
  <c r="J59" i="28"/>
  <c r="J61" i="28"/>
  <c r="O61" i="28"/>
  <c r="J61" i="26"/>
  <c r="J58" i="25"/>
  <c r="J60" i="25"/>
  <c r="J61" i="25"/>
  <c r="J61" i="24"/>
  <c r="J58" i="24"/>
  <c r="J61" i="22"/>
  <c r="J59" i="21"/>
  <c r="J58" i="20"/>
  <c r="O58" i="20"/>
  <c r="J59" i="20"/>
  <c r="J58" i="19"/>
  <c r="J59" i="19"/>
  <c r="J61" i="18"/>
  <c r="O61" i="18"/>
  <c r="J56" i="17"/>
  <c r="O56" i="17"/>
  <c r="J58" i="17"/>
  <c r="O58" i="17"/>
  <c r="J59" i="16"/>
  <c r="J59" i="15"/>
  <c r="J59" i="13"/>
  <c r="J58" i="12"/>
  <c r="J57" i="12"/>
  <c r="J59" i="12"/>
  <c r="J57" i="11"/>
  <c r="J59" i="11"/>
  <c r="J58" i="10"/>
  <c r="J59" i="7"/>
  <c r="J59" i="6"/>
  <c r="J59" i="5"/>
  <c r="J56" i="5"/>
  <c r="J56" i="4"/>
  <c r="J59" i="4"/>
  <c r="J56" i="3"/>
  <c r="J57" i="3"/>
  <c r="J58" i="3"/>
  <c r="O59" i="31"/>
  <c r="O60" i="31"/>
  <c r="O58" i="31"/>
  <c r="O58" i="30"/>
  <c r="O60" i="30"/>
  <c r="O60" i="29"/>
  <c r="O61" i="29"/>
  <c r="O59" i="28"/>
  <c r="O58" i="28"/>
  <c r="O60" i="28"/>
  <c r="O59" i="27"/>
  <c r="K63" i="27"/>
  <c r="J63" i="27"/>
  <c r="O63" i="27"/>
  <c r="O58" i="27"/>
  <c r="O61" i="27"/>
  <c r="O61" i="26"/>
  <c r="O58" i="26"/>
  <c r="N63" i="26"/>
  <c r="M63" i="26"/>
  <c r="O59" i="26"/>
  <c r="O60" i="25"/>
  <c r="O58" i="25"/>
  <c r="O58" i="24"/>
  <c r="O60" i="24"/>
  <c r="O59" i="4"/>
  <c r="O58" i="5"/>
  <c r="O59" i="6"/>
  <c r="K61" i="6"/>
  <c r="O57" i="6"/>
  <c r="O56" i="6"/>
  <c r="O56" i="8"/>
  <c r="O58" i="8"/>
  <c r="O56" i="15"/>
  <c r="O59" i="17"/>
  <c r="O59" i="18"/>
  <c r="N61" i="18"/>
  <c r="O59" i="19"/>
  <c r="O57" i="21"/>
  <c r="O59" i="24"/>
  <c r="N63" i="23"/>
  <c r="M63" i="23"/>
  <c r="O58" i="23"/>
  <c r="O61" i="23"/>
  <c r="O59" i="22"/>
  <c r="M63" i="22"/>
  <c r="O60" i="22"/>
  <c r="O58" i="22"/>
  <c r="O61" i="22"/>
  <c r="O58" i="21"/>
  <c r="O56" i="21"/>
  <c r="O56" i="20"/>
  <c r="O57" i="20"/>
  <c r="O57" i="19"/>
  <c r="O56" i="19"/>
  <c r="O58" i="19"/>
  <c r="O57" i="18"/>
  <c r="O58" i="18"/>
  <c r="M61" i="17"/>
  <c r="O56" i="16"/>
  <c r="O57" i="16"/>
  <c r="O58" i="16"/>
  <c r="O59" i="15"/>
  <c r="O57" i="15"/>
  <c r="O58" i="15"/>
  <c r="O59" i="14"/>
  <c r="O56" i="14"/>
  <c r="O58" i="14"/>
  <c r="N61" i="13"/>
  <c r="O56" i="13"/>
  <c r="O57" i="13"/>
  <c r="J61" i="37"/>
  <c r="O61" i="37"/>
  <c r="O57" i="37"/>
  <c r="N61" i="39"/>
  <c r="J61" i="39"/>
  <c r="O61" i="39"/>
  <c r="O59" i="39"/>
  <c r="J61" i="36"/>
  <c r="O61" i="36"/>
  <c r="N61" i="33"/>
  <c r="J61" i="33"/>
  <c r="O61" i="33"/>
  <c r="O59" i="33"/>
  <c r="J63" i="30"/>
  <c r="O63" i="30"/>
  <c r="O61" i="30"/>
  <c r="J63" i="29"/>
  <c r="O63" i="29"/>
  <c r="O59" i="29"/>
  <c r="J63" i="25"/>
  <c r="O63" i="25"/>
  <c r="O61" i="25"/>
  <c r="J63" i="24"/>
  <c r="O63" i="24"/>
  <c r="O61" i="24"/>
  <c r="J63" i="23"/>
  <c r="O63" i="23"/>
  <c r="O59" i="23"/>
  <c r="J61" i="21"/>
  <c r="O61" i="21"/>
  <c r="O59" i="21"/>
  <c r="J61" i="20"/>
  <c r="O61" i="20"/>
  <c r="O59" i="20"/>
  <c r="J61" i="17"/>
  <c r="O61" i="17"/>
  <c r="O57" i="17"/>
  <c r="J61" i="16"/>
  <c r="O61" i="16"/>
  <c r="O59" i="16"/>
  <c r="J61" i="14"/>
  <c r="O61" i="14"/>
  <c r="O57" i="14"/>
  <c r="O56" i="12"/>
  <c r="L61" i="10"/>
  <c r="J61" i="8"/>
  <c r="O61" i="8"/>
  <c r="O57" i="8"/>
  <c r="O56" i="7"/>
  <c r="O58" i="7"/>
  <c r="O57" i="7"/>
  <c r="J61" i="7"/>
  <c r="O59" i="7"/>
  <c r="O58" i="6"/>
  <c r="O56" i="5"/>
  <c r="O59" i="5"/>
  <c r="K61" i="5"/>
  <c r="O57" i="5"/>
  <c r="O56" i="4"/>
  <c r="O57" i="4"/>
  <c r="O58" i="3"/>
  <c r="O56" i="3"/>
  <c r="J61" i="3"/>
  <c r="O61" i="3"/>
  <c r="O57" i="3"/>
  <c r="O58" i="13"/>
  <c r="J61" i="13"/>
  <c r="O59" i="13"/>
  <c r="N61" i="12"/>
  <c r="O58" i="12"/>
  <c r="O59" i="12"/>
  <c r="O57" i="12"/>
  <c r="N61" i="11"/>
  <c r="O58" i="11"/>
  <c r="O56" i="11"/>
  <c r="O59" i="11"/>
  <c r="O57" i="11"/>
  <c r="O58" i="10"/>
  <c r="O57" i="10"/>
  <c r="O59" i="10"/>
  <c r="O56" i="10"/>
  <c r="J61" i="10"/>
  <c r="N61" i="9"/>
  <c r="O57" i="9"/>
  <c r="M61" i="9"/>
  <c r="O58" i="9"/>
  <c r="O56" i="9"/>
  <c r="K61" i="9"/>
  <c r="O59" i="9"/>
  <c r="N61" i="38"/>
  <c r="M63" i="31"/>
  <c r="M63" i="30"/>
  <c r="N63" i="27"/>
  <c r="M63" i="25"/>
  <c r="K61" i="17"/>
  <c r="K61" i="11"/>
  <c r="J63" i="26"/>
  <c r="O63" i="26"/>
  <c r="J63" i="22"/>
  <c r="O63" i="22"/>
  <c r="J61" i="19"/>
  <c r="O61" i="19"/>
  <c r="J61" i="15"/>
  <c r="O61" i="15"/>
  <c r="K61" i="7"/>
  <c r="J61" i="6"/>
  <c r="O61" i="6"/>
  <c r="J61" i="5"/>
  <c r="N61" i="4"/>
  <c r="J61" i="4"/>
  <c r="J61" i="32"/>
  <c r="O61" i="32"/>
  <c r="J63" i="28"/>
  <c r="O63" i="28"/>
  <c r="J61" i="12"/>
  <c r="J61" i="11"/>
  <c r="O61" i="13"/>
  <c r="O61" i="10"/>
  <c r="O61" i="7"/>
  <c r="O61" i="5"/>
  <c r="O61" i="4"/>
  <c r="O61" i="12"/>
  <c r="O61" i="11"/>
  <c r="O61" i="9"/>
  <c r="H417" i="40"/>
  <c r="H416" i="40"/>
  <c r="H415" i="40"/>
  <c r="H414" i="40"/>
  <c r="H413" i="40"/>
  <c r="H406" i="40"/>
  <c r="H405" i="40"/>
  <c r="H404" i="40"/>
  <c r="H403" i="40"/>
  <c r="H402" i="40"/>
  <c r="H395" i="40"/>
  <c r="H394" i="40"/>
  <c r="H393" i="40"/>
  <c r="H392" i="40"/>
  <c r="H391" i="40"/>
  <c r="H384" i="40"/>
  <c r="H383" i="40"/>
  <c r="H382" i="40"/>
  <c r="H381" i="40"/>
  <c r="H380" i="40"/>
  <c r="H373" i="40"/>
  <c r="H372" i="40"/>
  <c r="H371" i="40"/>
  <c r="H370" i="40"/>
  <c r="H369" i="40"/>
  <c r="H362" i="40"/>
  <c r="H361" i="40"/>
  <c r="H360" i="40"/>
  <c r="H359" i="40"/>
  <c r="H358" i="40"/>
  <c r="H351" i="40"/>
  <c r="H350" i="40"/>
  <c r="H349" i="40"/>
  <c r="H348" i="40"/>
  <c r="H347" i="40"/>
  <c r="H340" i="40"/>
  <c r="H339" i="40"/>
  <c r="H338" i="40"/>
  <c r="H337" i="40"/>
  <c r="H336" i="40"/>
  <c r="H329" i="40"/>
  <c r="H328" i="40"/>
  <c r="H327" i="40"/>
  <c r="H326" i="40"/>
  <c r="H325" i="40"/>
  <c r="H318" i="40"/>
  <c r="H317" i="40"/>
  <c r="H316" i="40"/>
  <c r="H315" i="40"/>
  <c r="H314" i="40"/>
  <c r="H307" i="40"/>
  <c r="H306" i="40"/>
  <c r="H305" i="40"/>
  <c r="H304" i="40"/>
  <c r="H303" i="40"/>
  <c r="H296" i="40"/>
  <c r="H295" i="40"/>
  <c r="H294" i="40"/>
  <c r="H293" i="40"/>
  <c r="H292" i="40"/>
  <c r="H285" i="40"/>
  <c r="H284" i="40"/>
  <c r="H283" i="40"/>
  <c r="H282" i="40"/>
  <c r="H281" i="40"/>
  <c r="H263" i="40"/>
  <c r="H262" i="40"/>
  <c r="H261" i="40"/>
  <c r="H260" i="40"/>
  <c r="H259" i="40"/>
  <c r="H252" i="40"/>
  <c r="H251" i="40"/>
  <c r="H250" i="40"/>
  <c r="H249" i="40"/>
  <c r="H248" i="40"/>
  <c r="H270" i="40"/>
  <c r="H271" i="40"/>
  <c r="H272" i="40"/>
  <c r="H273" i="40"/>
  <c r="H274" i="40"/>
  <c r="H241" i="40"/>
  <c r="H240" i="40"/>
  <c r="H239" i="40"/>
  <c r="H238" i="40"/>
  <c r="H237" i="40"/>
  <c r="H226" i="40"/>
  <c r="H230" i="40"/>
  <c r="H229" i="40"/>
  <c r="H228" i="40"/>
  <c r="H227" i="40"/>
  <c r="H219" i="40"/>
  <c r="H218" i="40"/>
  <c r="H217" i="40"/>
  <c r="H216" i="40"/>
  <c r="H215" i="40"/>
  <c r="H208" i="40"/>
  <c r="H207" i="40"/>
  <c r="H206" i="40"/>
  <c r="H205" i="40"/>
  <c r="H204" i="40"/>
  <c r="H197" i="40"/>
  <c r="H196" i="40"/>
  <c r="H195" i="40"/>
  <c r="H194" i="40"/>
  <c r="H186" i="40"/>
  <c r="H185" i="40"/>
  <c r="H184" i="40"/>
  <c r="H183" i="40"/>
  <c r="H182" i="40"/>
  <c r="H175" i="40"/>
  <c r="H174" i="40"/>
  <c r="H173" i="40"/>
  <c r="H172" i="40"/>
  <c r="H171" i="40"/>
  <c r="H164" i="40"/>
  <c r="H163" i="40"/>
  <c r="H162" i="40"/>
  <c r="H161" i="40"/>
  <c r="H160" i="40"/>
  <c r="H153" i="40"/>
  <c r="H152" i="40"/>
  <c r="H151" i="40"/>
  <c r="H150" i="40"/>
  <c r="H149" i="40"/>
  <c r="H142" i="40"/>
  <c r="H141" i="40"/>
  <c r="H140" i="40"/>
  <c r="H139" i="40"/>
  <c r="H138" i="40"/>
  <c r="H131" i="40"/>
  <c r="H130" i="40"/>
  <c r="H129" i="40"/>
  <c r="H128" i="40"/>
  <c r="H127" i="40"/>
  <c r="H120" i="40"/>
  <c r="H119" i="40"/>
  <c r="H118" i="40"/>
  <c r="H117" i="40"/>
  <c r="H116" i="40"/>
  <c r="H193" i="40"/>
  <c r="H109" i="40"/>
  <c r="H108" i="40"/>
  <c r="H107" i="40"/>
  <c r="H106" i="40"/>
  <c r="H105" i="40"/>
  <c r="H98" i="40"/>
  <c r="H97" i="40"/>
  <c r="H96" i="40"/>
  <c r="H95" i="40"/>
  <c r="H94" i="40"/>
  <c r="H87" i="40"/>
  <c r="H86" i="40"/>
  <c r="H85" i="40"/>
  <c r="H84" i="40"/>
  <c r="H83" i="40"/>
  <c r="H76" i="40"/>
  <c r="H75" i="40"/>
  <c r="H74" i="40"/>
  <c r="H73" i="40"/>
  <c r="H72" i="40"/>
  <c r="H65" i="40"/>
  <c r="H64" i="40"/>
  <c r="H63" i="40"/>
  <c r="H62" i="40"/>
  <c r="H61" i="40"/>
  <c r="H21" i="40"/>
  <c r="H20" i="40"/>
  <c r="H19" i="40"/>
  <c r="H18" i="40"/>
  <c r="H17" i="40"/>
  <c r="H32" i="40"/>
  <c r="H31" i="40"/>
  <c r="H30" i="40"/>
  <c r="H29" i="40"/>
  <c r="H28" i="40"/>
  <c r="H43" i="40"/>
  <c r="H42" i="40"/>
  <c r="H41" i="40"/>
  <c r="H40" i="40"/>
  <c r="H39" i="40"/>
  <c r="H54" i="40"/>
  <c r="H53" i="40"/>
  <c r="H52" i="40"/>
  <c r="H51" i="40"/>
  <c r="H50" i="40"/>
  <c r="D412" i="40"/>
  <c r="D401" i="40"/>
  <c r="D390" i="40"/>
  <c r="D379" i="40"/>
  <c r="D368" i="40"/>
  <c r="D357" i="40"/>
  <c r="D346" i="40"/>
  <c r="D335" i="40"/>
  <c r="D324" i="40"/>
  <c r="D313" i="40"/>
  <c r="D302" i="40"/>
  <c r="D291" i="40"/>
  <c r="D280" i="40"/>
  <c r="D269" i="40"/>
  <c r="D258" i="40"/>
  <c r="D247" i="40"/>
  <c r="D236" i="40"/>
  <c r="D225" i="40"/>
  <c r="D214" i="40"/>
  <c r="D203" i="40"/>
  <c r="D192" i="40"/>
  <c r="D181" i="40"/>
  <c r="D170" i="40"/>
  <c r="D159" i="40"/>
  <c r="D148" i="40"/>
  <c r="D137" i="40"/>
  <c r="D126" i="40"/>
  <c r="D115" i="40"/>
  <c r="D104" i="40"/>
  <c r="D93" i="40"/>
  <c r="D82" i="40"/>
  <c r="D71" i="40"/>
  <c r="D60" i="40"/>
  <c r="M49" i="43"/>
  <c r="AK32" i="42"/>
  <c r="AF27" i="42"/>
  <c r="AK38" i="43"/>
  <c r="Y42" i="42"/>
  <c r="Q47" i="43"/>
  <c r="AJ20" i="43"/>
  <c r="M16" i="43"/>
  <c r="AA7" i="42"/>
  <c r="AB12" i="43"/>
  <c r="AF20" i="43"/>
  <c r="T42" i="43"/>
  <c r="AA14" i="42"/>
  <c r="X14" i="42"/>
  <c r="L36" i="42"/>
  <c r="AD23" i="42"/>
  <c r="AC12" i="43"/>
  <c r="U4" i="42"/>
  <c r="AI38" i="42"/>
  <c r="N42" i="43"/>
  <c r="AA25" i="42"/>
  <c r="AB10" i="42"/>
  <c r="AK16" i="43"/>
  <c r="F26" i="42"/>
  <c r="AL48" i="43"/>
  <c r="AO42" i="43"/>
  <c r="AB25" i="43"/>
  <c r="X20" i="43"/>
  <c r="AN24" i="42"/>
  <c r="X49" i="43"/>
  <c r="AA42" i="43"/>
  <c r="I39" i="42"/>
  <c r="Q3" i="43"/>
  <c r="AM4" i="42"/>
  <c r="AM9" i="42"/>
  <c r="Y20" i="42"/>
  <c r="I14" i="43"/>
  <c r="AN42" i="43"/>
  <c r="S38" i="43"/>
  <c r="X42" i="42"/>
  <c r="R19" i="42"/>
  <c r="O6" i="42"/>
  <c r="AM20" i="43"/>
  <c r="AC41" i="42"/>
  <c r="AE40" i="43"/>
  <c r="O21" i="42"/>
  <c r="AL25" i="42"/>
  <c r="AK42" i="43"/>
  <c r="AA30" i="42"/>
  <c r="L10" i="42"/>
  <c r="AG49" i="43"/>
  <c r="I37" i="42"/>
  <c r="AK47" i="43"/>
  <c r="AI5" i="42"/>
  <c r="E25" i="43"/>
  <c r="W22" i="42"/>
  <c r="AI37" i="42"/>
  <c r="AN31" i="42"/>
  <c r="K48" i="43"/>
  <c r="K6" i="42"/>
  <c r="AG25" i="42"/>
  <c r="AN26" i="42"/>
  <c r="P40" i="43"/>
  <c r="I7" i="42"/>
  <c r="AE21" i="42"/>
  <c r="M48" i="43"/>
  <c r="N11" i="42"/>
  <c r="W47" i="43"/>
  <c r="AI12" i="43"/>
  <c r="AM28" i="42"/>
  <c r="AL32" i="42"/>
  <c r="E48" i="43"/>
  <c r="Y25" i="42"/>
  <c r="I27" i="42"/>
  <c r="AJ14" i="42"/>
  <c r="AA41" i="42"/>
  <c r="Q16" i="43"/>
  <c r="O17" i="42"/>
  <c r="AA17" i="42"/>
  <c r="H14" i="43"/>
  <c r="F23" i="42"/>
  <c r="G6" i="42"/>
  <c r="M5" i="42"/>
  <c r="T34" i="42"/>
  <c r="I20" i="43"/>
  <c r="W42" i="42"/>
  <c r="AM25" i="42"/>
  <c r="AJ36" i="42"/>
  <c r="AH7" i="42"/>
  <c r="I9" i="42"/>
  <c r="Q31" i="42"/>
  <c r="Z25" i="42"/>
  <c r="AE27" i="42"/>
  <c r="Y20" i="43"/>
  <c r="AJ4" i="42"/>
  <c r="AJ21" i="42"/>
  <c r="V14" i="42"/>
  <c r="AI30" i="42"/>
  <c r="J3" i="43"/>
  <c r="T4" i="42"/>
  <c r="V38" i="42"/>
  <c r="AI20" i="43"/>
  <c r="AI17" i="42"/>
  <c r="AC14" i="42"/>
  <c r="AA40" i="43"/>
  <c r="I20" i="42"/>
  <c r="AJ26" i="42"/>
  <c r="L18" i="42"/>
  <c r="AE33" i="42"/>
  <c r="AD38" i="43"/>
  <c r="P26" i="42"/>
  <c r="T22" i="42"/>
  <c r="L28" i="42"/>
  <c r="H18" i="42"/>
  <c r="AB37" i="42"/>
  <c r="M15" i="42"/>
  <c r="AD25" i="42"/>
  <c r="AM12" i="43"/>
  <c r="N23" i="42"/>
  <c r="X3" i="43"/>
  <c r="H12" i="43"/>
  <c r="AD10" i="42"/>
  <c r="J12" i="43"/>
  <c r="S6" i="42"/>
  <c r="AI48" i="43"/>
  <c r="G40" i="42"/>
  <c r="I5" i="42"/>
  <c r="T5" i="42"/>
  <c r="AD19" i="42"/>
  <c r="AG31" i="42"/>
  <c r="AN22" i="42"/>
  <c r="AD15" i="42"/>
  <c r="N39" i="43"/>
  <c r="AG14" i="42"/>
  <c r="K16" i="43"/>
  <c r="K36" i="42"/>
  <c r="Q20" i="42"/>
  <c r="H33" i="42"/>
  <c r="P6" i="42"/>
  <c r="AM33" i="42"/>
  <c r="AL41" i="42"/>
  <c r="H34" i="42"/>
  <c r="U10" i="42"/>
  <c r="W25" i="42"/>
  <c r="AB41" i="43"/>
  <c r="Q22" i="42"/>
  <c r="AD14" i="42"/>
  <c r="T27" i="42"/>
  <c r="K27" i="42"/>
  <c r="AG32" i="42"/>
  <c r="L39" i="42"/>
  <c r="X12" i="43"/>
  <c r="T39" i="43"/>
  <c r="R49" i="43"/>
  <c r="Q48" i="43"/>
  <c r="AC49" i="43"/>
  <c r="AF18" i="42"/>
  <c r="J27" i="42"/>
  <c r="G3" i="43"/>
  <c r="AL20" i="43"/>
  <c r="AI40" i="42"/>
  <c r="L4" i="42"/>
  <c r="AE25" i="42"/>
  <c r="AH10" i="42"/>
  <c r="AH36" i="42"/>
  <c r="O4" i="42"/>
  <c r="AJ38" i="42"/>
  <c r="G7" i="42"/>
  <c r="S17" i="42"/>
  <c r="P25" i="43"/>
  <c r="F33" i="42"/>
  <c r="I25" i="42"/>
  <c r="K12" i="42"/>
  <c r="AM38" i="42"/>
  <c r="P20" i="42"/>
  <c r="AI47" i="43"/>
  <c r="AL17" i="42"/>
  <c r="N9" i="42"/>
  <c r="AF48" i="43"/>
  <c r="Z3" i="43"/>
  <c r="AI9" i="42"/>
  <c r="R48" i="43"/>
  <c r="V22" i="42"/>
  <c r="AK24" i="42"/>
  <c r="AM11" i="42"/>
  <c r="AE7" i="42"/>
  <c r="O15" i="42"/>
  <c r="AB40" i="42"/>
  <c r="I4" i="42"/>
  <c r="O38" i="42"/>
  <c r="V42" i="42"/>
  <c r="S12" i="43"/>
  <c r="AB32" i="42"/>
  <c r="AI14" i="43"/>
  <c r="H48" i="43"/>
  <c r="W34" i="42"/>
  <c r="Z33" i="42"/>
  <c r="L14" i="43"/>
  <c r="AC4" i="42"/>
  <c r="I12" i="43"/>
  <c r="G39" i="42"/>
  <c r="AF17" i="42"/>
  <c r="H49" i="43"/>
  <c r="AB18" i="42"/>
  <c r="W36" i="42"/>
  <c r="U26" i="42"/>
  <c r="Q5" i="42"/>
  <c r="L6" i="42"/>
  <c r="AD6" i="42"/>
  <c r="K32" i="42"/>
  <c r="I42" i="42"/>
  <c r="K5" i="42"/>
  <c r="L40" i="43"/>
  <c r="I32" i="42"/>
  <c r="R39" i="43"/>
  <c r="N49" i="43"/>
  <c r="AE5" i="42"/>
  <c r="N10" i="42"/>
  <c r="J32" i="42"/>
  <c r="AJ6" i="42"/>
  <c r="S14" i="42"/>
  <c r="AN48" i="43"/>
  <c r="O14" i="43"/>
  <c r="AA38" i="43"/>
  <c r="AD27" i="42"/>
  <c r="P17" i="42"/>
  <c r="AN10" i="42"/>
  <c r="AA48" i="43"/>
  <c r="AI38" i="43"/>
  <c r="AE4" i="42"/>
  <c r="Y14" i="42"/>
  <c r="G20" i="43"/>
  <c r="AK26" i="42"/>
  <c r="AD47" i="43"/>
  <c r="H41" i="43"/>
  <c r="N47" i="43"/>
  <c r="AK37" i="42"/>
  <c r="AH20" i="43"/>
  <c r="S4" i="42"/>
  <c r="AO5" i="42"/>
  <c r="X14" i="43"/>
  <c r="AA12" i="43"/>
  <c r="T12" i="42"/>
  <c r="T33" i="42"/>
  <c r="AL41" i="43"/>
  <c r="AK15" i="42"/>
  <c r="R31" i="42"/>
  <c r="U33" i="42"/>
  <c r="S11" i="42"/>
  <c r="V33" i="42"/>
  <c r="O42" i="43"/>
  <c r="Y12" i="43"/>
  <c r="AK36" i="42"/>
  <c r="AN3" i="43"/>
  <c r="Y38" i="43"/>
  <c r="AK31" i="42"/>
  <c r="Z39" i="42"/>
  <c r="X18" i="42"/>
  <c r="AC26" i="42"/>
  <c r="P39" i="43"/>
  <c r="I41" i="42"/>
  <c r="W37" i="42"/>
  <c r="R10" i="42"/>
  <c r="I48" i="43"/>
  <c r="AI25" i="43"/>
  <c r="M3" i="43"/>
  <c r="AH27" i="42"/>
  <c r="U11" i="42"/>
  <c r="M38" i="42"/>
  <c r="O38" i="43"/>
  <c r="AF20" i="42"/>
  <c r="AF12" i="42"/>
  <c r="T25" i="43"/>
  <c r="AI19" i="42"/>
  <c r="G17" i="42"/>
  <c r="AO38" i="42"/>
  <c r="S5" i="42"/>
  <c r="AN40" i="42"/>
  <c r="R42" i="43"/>
  <c r="X5" i="42"/>
  <c r="AC17" i="42"/>
  <c r="P47" i="43"/>
  <c r="AJ18" i="42"/>
  <c r="L38" i="42"/>
  <c r="AM21" i="42"/>
  <c r="AM37" i="42"/>
  <c r="L17" i="42"/>
  <c r="X38" i="43"/>
  <c r="AG41" i="42"/>
  <c r="O32" i="42"/>
  <c r="J8" i="42"/>
  <c r="AB26" i="42"/>
  <c r="J20" i="43"/>
  <c r="R4" i="42"/>
  <c r="R28" i="42"/>
  <c r="F17" i="42"/>
  <c r="AF32" i="42"/>
  <c r="W42" i="43"/>
  <c r="S22" i="42"/>
  <c r="AF22" i="42"/>
  <c r="H15" i="42"/>
  <c r="AE23" i="42"/>
  <c r="S20" i="42"/>
  <c r="N37" i="42"/>
  <c r="AB4" i="42"/>
  <c r="M20" i="42"/>
  <c r="N7" i="42"/>
  <c r="AC36" i="42"/>
  <c r="Y39" i="43"/>
  <c r="AK23" i="42"/>
  <c r="AF25" i="42"/>
  <c r="X20" i="42"/>
  <c r="AJ27" i="42"/>
  <c r="Z34" i="42"/>
  <c r="AD42" i="43"/>
  <c r="AM42" i="42"/>
  <c r="Z30" i="42"/>
  <c r="P40" i="42"/>
  <c r="AE47" i="43"/>
  <c r="S12" i="42"/>
  <c r="AM39" i="42"/>
  <c r="V12" i="42"/>
  <c r="AN42" i="42"/>
  <c r="U23" i="42"/>
  <c r="Z12" i="43"/>
  <c r="X25" i="42"/>
  <c r="K7" i="42"/>
  <c r="O36" i="42"/>
  <c r="N4" i="42"/>
  <c r="T8" i="42"/>
  <c r="Y48" i="43"/>
  <c r="AB7" i="42"/>
  <c r="AM34" i="42"/>
  <c r="N20" i="42"/>
  <c r="AF36" i="42"/>
  <c r="AD40" i="42"/>
  <c r="AF28" i="42"/>
  <c r="Q38" i="42"/>
  <c r="AF15" i="42"/>
  <c r="N5" i="42"/>
  <c r="N28" i="42"/>
  <c r="Y27" i="42"/>
  <c r="AG11" i="42"/>
  <c r="AF39" i="42"/>
  <c r="X30" i="42"/>
  <c r="AF16" i="43"/>
  <c r="J25" i="43"/>
  <c r="Z22" i="42"/>
  <c r="AA12" i="42"/>
  <c r="AN28" i="42"/>
  <c r="U31" i="42"/>
  <c r="AM42" i="43"/>
  <c r="AN11" i="42"/>
  <c r="V30" i="42"/>
  <c r="E39" i="43"/>
  <c r="AL15" i="42"/>
  <c r="AO41" i="43"/>
  <c r="T10" i="42"/>
  <c r="T6" i="42"/>
  <c r="AF31" i="42"/>
  <c r="AL24" i="42"/>
  <c r="N24" i="42"/>
  <c r="AA39" i="43"/>
  <c r="AM49" i="43"/>
  <c r="AD26" i="42"/>
  <c r="G48" i="43"/>
  <c r="P25" i="42"/>
  <c r="AM26" i="42"/>
  <c r="W20" i="42"/>
  <c r="V41" i="43"/>
  <c r="Z28" i="42"/>
  <c r="AC30" i="42"/>
  <c r="O27" i="42"/>
  <c r="AE36" i="42"/>
  <c r="T11" i="42"/>
  <c r="L31" i="42"/>
  <c r="AN47" i="43"/>
  <c r="F49" i="43"/>
  <c r="H31" i="42"/>
  <c r="K25" i="42"/>
  <c r="AA23" i="42"/>
  <c r="AK20" i="43"/>
  <c r="Z9" i="42"/>
  <c r="O5" i="42"/>
  <c r="AJ42" i="42"/>
  <c r="R41" i="43"/>
  <c r="H6" i="42"/>
  <c r="V3" i="43"/>
  <c r="V5" i="42"/>
  <c r="E16" i="43"/>
  <c r="J19" i="42"/>
  <c r="L39" i="43"/>
  <c r="U47" i="43"/>
  <c r="AB24" i="42"/>
  <c r="K42" i="43"/>
  <c r="AB19" i="42"/>
  <c r="P48" i="43"/>
  <c r="Y31" i="42"/>
  <c r="F28" i="42"/>
  <c r="AH33" i="42"/>
  <c r="S28" i="42"/>
  <c r="O20" i="42"/>
  <c r="AG36" i="42"/>
  <c r="W38" i="43"/>
  <c r="AI42" i="43"/>
  <c r="X40" i="43"/>
  <c r="AG3" i="43"/>
  <c r="X6" i="42"/>
  <c r="W40" i="42"/>
  <c r="AM39" i="43"/>
  <c r="F36" i="42"/>
  <c r="P31" i="42"/>
  <c r="S39" i="43"/>
  <c r="T25" i="42"/>
  <c r="AC18" i="42"/>
  <c r="T7" i="42"/>
  <c r="AA21" i="42"/>
  <c r="V25" i="42"/>
  <c r="AB47" i="43"/>
  <c r="W28" i="42"/>
  <c r="O14" i="42"/>
  <c r="AA18" i="42"/>
  <c r="T18" i="42"/>
  <c r="AN25" i="43"/>
  <c r="Q36" i="42"/>
  <c r="AM36" i="42"/>
  <c r="AB20" i="42"/>
  <c r="AI34" i="42"/>
  <c r="I28" i="42"/>
  <c r="L27" i="42"/>
  <c r="AK5" i="42"/>
  <c r="S19" i="42"/>
  <c r="AN38" i="43"/>
  <c r="M17" i="42"/>
  <c r="AG23" i="42"/>
  <c r="AF3" i="43"/>
  <c r="AC25" i="43"/>
  <c r="AG42" i="42"/>
  <c r="M11" i="42"/>
  <c r="AB3" i="43"/>
  <c r="Y32" i="42"/>
  <c r="R14" i="42"/>
  <c r="P19" i="42"/>
  <c r="T47" i="43"/>
  <c r="AG22" i="42"/>
  <c r="P24" i="42"/>
  <c r="N12" i="43"/>
  <c r="AB5" i="42"/>
  <c r="F6" i="42"/>
  <c r="AC9" i="42"/>
  <c r="AD34" i="42"/>
  <c r="H11" i="42"/>
  <c r="V10" i="42"/>
  <c r="R32" i="42"/>
  <c r="R18" i="42"/>
  <c r="K21" i="42"/>
  <c r="AI11" i="42"/>
  <c r="Y3" i="43"/>
  <c r="AK19" i="42"/>
  <c r="X7" i="42"/>
  <c r="AA41" i="43"/>
  <c r="L25" i="42"/>
  <c r="H12" i="42"/>
  <c r="P4" i="42"/>
  <c r="AE39" i="43"/>
  <c r="O40" i="42"/>
  <c r="U32" i="42"/>
  <c r="AO40" i="42"/>
  <c r="F41" i="42"/>
  <c r="Q4" i="42"/>
  <c r="H39" i="42"/>
  <c r="U27" i="42"/>
  <c r="AF42" i="43"/>
  <c r="T31" i="42"/>
  <c r="AA36" i="42"/>
  <c r="L5" i="42"/>
  <c r="AO32" i="42"/>
  <c r="O41" i="43"/>
  <c r="AA25" i="43"/>
  <c r="AN33" i="42"/>
  <c r="Z39" i="43"/>
  <c r="Y40" i="42"/>
  <c r="P33" i="42"/>
  <c r="AO30" i="42"/>
  <c r="W12" i="42"/>
  <c r="AB33" i="42"/>
  <c r="Z36" i="42"/>
  <c r="J9" i="42"/>
  <c r="E3" i="43"/>
  <c r="Q15" i="42"/>
  <c r="AB30" i="42"/>
  <c r="AL23" i="42"/>
  <c r="AO24" i="42"/>
  <c r="H25" i="43"/>
  <c r="AL34" i="42"/>
  <c r="Q14" i="42"/>
  <c r="S42" i="43"/>
  <c r="X40" i="42"/>
  <c r="T23" i="42"/>
  <c r="AH28" i="42"/>
  <c r="AO39" i="43"/>
  <c r="L3" i="43"/>
  <c r="X27" i="42"/>
  <c r="Y17" i="42"/>
  <c r="N8" i="42"/>
  <c r="X48" i="43"/>
  <c r="AE42" i="43"/>
  <c r="AC23" i="42"/>
  <c r="AG24" i="42"/>
  <c r="AC3" i="43"/>
  <c r="N34" i="42"/>
  <c r="W16" i="43"/>
  <c r="AF37" i="42"/>
  <c r="AO38" i="43"/>
  <c r="M24" i="42"/>
  <c r="AA27" i="42"/>
  <c r="AL6" i="42"/>
  <c r="Z21" i="42"/>
  <c r="W27" i="42"/>
  <c r="G12" i="42"/>
  <c r="AG39" i="42"/>
  <c r="AF21" i="42"/>
  <c r="X38" i="42"/>
  <c r="H38" i="43"/>
  <c r="N25" i="42"/>
  <c r="N41" i="42"/>
  <c r="M4" i="42"/>
  <c r="Y14" i="43"/>
  <c r="AN19" i="42"/>
  <c r="AJ31" i="42"/>
  <c r="AC16" i="43"/>
  <c r="O40" i="43"/>
  <c r="AC42" i="42"/>
  <c r="AD36" i="42"/>
  <c r="N19" i="42"/>
  <c r="Y5" i="42"/>
  <c r="AI10" i="42"/>
  <c r="AJ7" i="42"/>
  <c r="S30" i="42"/>
  <c r="M37" i="42"/>
  <c r="R38" i="43"/>
  <c r="R37" i="42"/>
  <c r="AH30" i="42"/>
  <c r="Q38" i="43"/>
  <c r="S18" i="42"/>
  <c r="AA11" i="42"/>
  <c r="V42" i="43"/>
  <c r="G47" i="43"/>
  <c r="V31" i="42"/>
  <c r="AD14" i="43"/>
  <c r="R25" i="43"/>
  <c r="AF38" i="42"/>
  <c r="G9" i="42"/>
  <c r="AK14" i="43"/>
  <c r="AD21" i="42"/>
  <c r="AE12" i="43"/>
  <c r="F38" i="42"/>
  <c r="X11" i="42"/>
  <c r="L41" i="42"/>
  <c r="G32" i="42"/>
  <c r="AK8" i="42"/>
  <c r="AG28" i="42"/>
  <c r="AE12" i="42"/>
  <c r="Q20" i="43"/>
  <c r="P12" i="43"/>
  <c r="Y41" i="43"/>
  <c r="Y41" i="42"/>
  <c r="AH41" i="42"/>
  <c r="AB41" i="42"/>
  <c r="AI39" i="43"/>
  <c r="I22" i="42"/>
  <c r="AB20" i="43"/>
  <c r="S20" i="43"/>
  <c r="AM38" i="43"/>
  <c r="P39" i="42"/>
  <c r="W9" i="42"/>
  <c r="AH34" i="42"/>
  <c r="AI21" i="42"/>
  <c r="AB31" i="42"/>
  <c r="AB25" i="42"/>
  <c r="O41" i="42"/>
  <c r="AO49" i="43"/>
  <c r="AI39" i="42"/>
  <c r="AC31" i="42"/>
  <c r="AI28" i="42"/>
  <c r="AG48" i="43"/>
  <c r="M40" i="42"/>
  <c r="P18" i="42"/>
  <c r="AI42" i="42"/>
  <c r="Z38" i="43"/>
  <c r="I30" i="42"/>
  <c r="AJ33" i="42"/>
  <c r="AD49" i="43"/>
  <c r="AH38" i="43"/>
  <c r="Z15" i="42"/>
  <c r="L40" i="42"/>
  <c r="M34" i="42"/>
  <c r="K33" i="42"/>
  <c r="I12" i="42"/>
  <c r="AI16" i="43"/>
  <c r="O30" i="42"/>
  <c r="AJ41" i="42"/>
  <c r="U38" i="43"/>
  <c r="AF5" i="42"/>
  <c r="V9" i="42"/>
  <c r="I47" i="43"/>
  <c r="S7" i="42"/>
  <c r="AK11" i="42"/>
  <c r="Q40" i="43"/>
  <c r="R24" i="42"/>
  <c r="X25" i="43"/>
  <c r="AD31" i="42"/>
  <c r="Y37" i="42"/>
  <c r="AL10" i="42"/>
  <c r="U39" i="43"/>
  <c r="Y12" i="42"/>
  <c r="Q49" i="43"/>
  <c r="AF8" i="42"/>
  <c r="I38" i="43"/>
  <c r="AK28" i="42"/>
  <c r="AC21" i="42"/>
  <c r="Q12" i="42"/>
  <c r="N41" i="43"/>
  <c r="AM3" i="43"/>
  <c r="H41" i="42"/>
  <c r="AB38" i="42"/>
  <c r="AB28" i="42"/>
  <c r="M39" i="42"/>
  <c r="J17" i="42"/>
  <c r="M27" i="42"/>
  <c r="K40" i="42"/>
  <c r="AD33" i="42"/>
  <c r="AF40" i="42"/>
  <c r="F42" i="42"/>
  <c r="R11" i="42"/>
  <c r="I23" i="42"/>
  <c r="T40" i="43"/>
  <c r="AL39" i="42"/>
  <c r="H40" i="42"/>
  <c r="AG34" i="42"/>
  <c r="K20" i="43"/>
  <c r="U24" i="42"/>
  <c r="Z4" i="42"/>
  <c r="S39" i="42"/>
  <c r="AO8" i="42"/>
  <c r="K37" i="42"/>
  <c r="S33" i="42"/>
  <c r="AL38" i="43"/>
  <c r="S49" i="43"/>
  <c r="S21" i="42"/>
  <c r="V39" i="43"/>
  <c r="S10" i="42"/>
  <c r="L37" i="42"/>
  <c r="P10" i="42"/>
  <c r="AO4" i="42"/>
  <c r="AC15" i="42"/>
  <c r="U22" i="42"/>
  <c r="Z31" i="42"/>
  <c r="AN5" i="42"/>
  <c r="AO27" i="42"/>
  <c r="T20" i="43"/>
  <c r="AD40" i="43"/>
  <c r="AA24" i="42"/>
  <c r="AL7" i="42"/>
  <c r="AL18" i="42"/>
  <c r="H38" i="42"/>
  <c r="W24" i="42"/>
  <c r="J42" i="43"/>
  <c r="AK42" i="42"/>
  <c r="U8" i="42"/>
  <c r="L20" i="42"/>
  <c r="R20" i="43"/>
  <c r="AF25" i="43"/>
  <c r="Z42" i="43"/>
  <c r="X24" i="42"/>
  <c r="AK41" i="42"/>
  <c r="H5" i="42"/>
  <c r="AK18" i="42"/>
  <c r="AC38" i="43"/>
  <c r="V28" i="42"/>
  <c r="AD28" i="42"/>
  <c r="AO15" i="42"/>
  <c r="U7" i="42"/>
  <c r="P38" i="42"/>
  <c r="AI36" i="42"/>
  <c r="Y8" i="42"/>
  <c r="AL9" i="42"/>
  <c r="F3" i="43"/>
  <c r="E38" i="43"/>
  <c r="J41" i="42"/>
  <c r="J39" i="43"/>
  <c r="U25" i="43"/>
  <c r="H10" i="42"/>
  <c r="AD8" i="42"/>
  <c r="O24" i="42"/>
  <c r="S25" i="42"/>
  <c r="AH16" i="43"/>
  <c r="Q32" i="42"/>
  <c r="AA15" i="42"/>
  <c r="W23" i="42"/>
  <c r="L11" i="42"/>
  <c r="F14" i="42"/>
  <c r="P15" i="42"/>
  <c r="F27" i="42"/>
  <c r="U36" i="42"/>
  <c r="Q11" i="42"/>
  <c r="K38" i="42"/>
  <c r="AJ47" i="43"/>
  <c r="X15" i="42"/>
  <c r="E49" i="43"/>
  <c r="U41" i="43"/>
  <c r="L34" i="42"/>
  <c r="AL12" i="43"/>
  <c r="M32" i="42"/>
  <c r="R15" i="42"/>
  <c r="AD30" i="42"/>
  <c r="V6" i="42"/>
  <c r="AL14" i="42"/>
  <c r="AD3" i="43"/>
  <c r="AB6" i="42"/>
  <c r="AE3" i="43"/>
  <c r="Y28" i="42"/>
  <c r="AN20" i="42"/>
  <c r="J14" i="42"/>
  <c r="S40" i="42"/>
  <c r="N36" i="42"/>
  <c r="T24" i="42"/>
  <c r="Q37" i="42"/>
  <c r="AA42" i="42"/>
  <c r="R41" i="42"/>
  <c r="AC40" i="43"/>
  <c r="N22" i="42"/>
  <c r="I26" i="42"/>
  <c r="AG25" i="43"/>
  <c r="AB9" i="42"/>
  <c r="G4" i="42"/>
  <c r="AJ3" i="43"/>
  <c r="O39" i="43"/>
  <c r="AJ32" i="42"/>
  <c r="AF41" i="43"/>
  <c r="X31" i="42"/>
  <c r="N38" i="43"/>
  <c r="J38" i="42"/>
  <c r="P32" i="42"/>
  <c r="S25" i="43"/>
  <c r="X36" i="42"/>
  <c r="L19" i="42"/>
  <c r="F12" i="42"/>
  <c r="AA22" i="42"/>
  <c r="Y33" i="42"/>
  <c r="AH41" i="43"/>
  <c r="N16" i="43"/>
  <c r="AJ5" i="42"/>
  <c r="L16" i="43"/>
  <c r="AN12" i="43"/>
  <c r="AH25" i="42"/>
  <c r="AE30" i="42"/>
  <c r="AM40" i="43"/>
  <c r="AC47" i="43"/>
  <c r="R12" i="42"/>
  <c r="P49" i="43"/>
  <c r="N26" i="42"/>
  <c r="I11" i="42"/>
  <c r="S34" i="42"/>
  <c r="V21" i="42"/>
  <c r="Z14" i="43"/>
  <c r="AL25" i="43"/>
  <c r="W4" i="42"/>
  <c r="Y49" i="43"/>
  <c r="H19" i="42"/>
  <c r="W18" i="42"/>
  <c r="AL11" i="42"/>
  <c r="AL14" i="43"/>
  <c r="W38" i="42"/>
  <c r="AD38" i="42"/>
  <c r="AH15" i="42"/>
  <c r="H24" i="42"/>
  <c r="AC12" i="42"/>
  <c r="N14" i="42"/>
  <c r="AD4" i="42"/>
  <c r="AF40" i="43"/>
  <c r="S36" i="42"/>
  <c r="X47" i="43"/>
  <c r="G28" i="42"/>
  <c r="T36" i="42"/>
  <c r="X39" i="42"/>
  <c r="AN39" i="42"/>
  <c r="V7" i="42"/>
  <c r="L14" i="42"/>
  <c r="AC34" i="42"/>
  <c r="J41" i="43"/>
  <c r="AE28" i="42"/>
  <c r="AI7" i="42"/>
  <c r="L30" i="42"/>
  <c r="F40" i="42"/>
  <c r="Z41" i="43"/>
  <c r="H42" i="42"/>
  <c r="V17" i="42"/>
  <c r="AI26" i="42"/>
  <c r="AJ8" i="42"/>
  <c r="W33" i="42"/>
  <c r="M18" i="42"/>
  <c r="W49" i="43"/>
  <c r="L12" i="43"/>
  <c r="T38" i="42"/>
  <c r="G20" i="42"/>
  <c r="T30" i="42"/>
  <c r="M8" i="42"/>
  <c r="AH19" i="42"/>
  <c r="I39" i="43"/>
  <c r="N39" i="42"/>
  <c r="O7" i="42"/>
  <c r="G38" i="42"/>
  <c r="AF38" i="43"/>
  <c r="H3" i="43"/>
  <c r="R3" i="43"/>
  <c r="AC37" i="42"/>
  <c r="AB39" i="42"/>
  <c r="AK25" i="42"/>
  <c r="K20" i="42"/>
  <c r="F37" i="42"/>
  <c r="U40" i="42"/>
  <c r="AE8" i="42"/>
  <c r="AE31" i="42"/>
  <c r="K47" i="43"/>
  <c r="AG27" i="42"/>
  <c r="AE22" i="42"/>
  <c r="V19" i="42"/>
  <c r="AE20" i="42"/>
  <c r="G15" i="42"/>
  <c r="AA33" i="42"/>
  <c r="U15" i="42"/>
  <c r="S26" i="42"/>
  <c r="Z18" i="42"/>
  <c r="U20" i="43"/>
  <c r="J16" i="43"/>
  <c r="I10" i="42"/>
  <c r="AI24" i="42"/>
  <c r="AK38" i="42"/>
  <c r="J47" i="43"/>
  <c r="M23" i="42"/>
  <c r="AL37" i="42"/>
  <c r="Y42" i="43"/>
  <c r="O28" i="42"/>
  <c r="X23" i="42"/>
  <c r="AM15" i="42"/>
  <c r="AJ25" i="42"/>
  <c r="AB8" i="42"/>
  <c r="Z49" i="43"/>
  <c r="AD48" i="43"/>
  <c r="AC24" i="42"/>
  <c r="AA28" i="42"/>
  <c r="AO42" i="42"/>
  <c r="AC28" i="42"/>
  <c r="AL39" i="43"/>
  <c r="AN40" i="43"/>
  <c r="K42" i="42"/>
  <c r="AB21" i="42"/>
  <c r="L7" i="42"/>
  <c r="AJ25" i="43"/>
  <c r="AH3" i="43"/>
  <c r="Z47" i="43"/>
  <c r="O48" i="43"/>
  <c r="I40" i="43"/>
  <c r="AA38" i="42"/>
  <c r="N32" i="42"/>
  <c r="L9" i="42"/>
  <c r="AO20" i="42"/>
  <c r="AF42" i="42"/>
  <c r="AM41" i="43"/>
  <c r="Z17" i="42"/>
  <c r="Q8" i="42"/>
  <c r="J33" i="42"/>
  <c r="K3" i="43"/>
  <c r="I21" i="42"/>
  <c r="H37" i="42"/>
  <c r="AC27" i="42"/>
  <c r="AN39" i="43"/>
  <c r="AK3" i="43"/>
  <c r="AI12" i="42"/>
  <c r="U17" i="42"/>
  <c r="AD41" i="43"/>
  <c r="N20" i="43"/>
  <c r="S42" i="42"/>
  <c r="X34" i="42"/>
  <c r="AA3" i="43"/>
  <c r="O8" i="42"/>
  <c r="Z40" i="43"/>
  <c r="AA19" i="42"/>
  <c r="Y7" i="42"/>
  <c r="AH12" i="42"/>
  <c r="AF26" i="42"/>
  <c r="S15" i="42"/>
  <c r="AD18" i="42"/>
  <c r="AD22" i="42"/>
  <c r="I6" i="42"/>
  <c r="AJ41" i="43"/>
  <c r="T49" i="43"/>
  <c r="F31" i="42"/>
  <c r="E41" i="43"/>
  <c r="G27" i="42"/>
  <c r="P38" i="43"/>
  <c r="AM24" i="42"/>
  <c r="I14" i="42"/>
  <c r="AJ40" i="42"/>
  <c r="K31" i="42"/>
  <c r="J37" i="42"/>
  <c r="I49" i="43"/>
  <c r="V23" i="42"/>
  <c r="O11" i="42"/>
  <c r="W3" i="43"/>
  <c r="AM18" i="42"/>
  <c r="AM32" i="42"/>
  <c r="N40" i="43"/>
  <c r="F12" i="43"/>
  <c r="L48" i="43"/>
  <c r="O42" i="42"/>
  <c r="AJ39" i="43"/>
  <c r="F22" i="42"/>
  <c r="AL19" i="42"/>
  <c r="Q9" i="42"/>
  <c r="AJ42" i="43"/>
  <c r="Z42" i="42"/>
  <c r="AO40" i="43"/>
  <c r="I42" i="43"/>
  <c r="T28" i="42"/>
  <c r="I34" i="42"/>
  <c r="AM27" i="42"/>
  <c r="AG6" i="42"/>
  <c r="Y4" i="42"/>
  <c r="P22" i="42"/>
  <c r="X32" i="42"/>
  <c r="AO41" i="42"/>
  <c r="AG40" i="42"/>
  <c r="AF49" i="43"/>
  <c r="AA40" i="42"/>
  <c r="Y10" i="42"/>
  <c r="R38" i="42"/>
  <c r="V14" i="43"/>
  <c r="P34" i="42"/>
  <c r="P41" i="42"/>
  <c r="AB14" i="42"/>
  <c r="AD32" i="42"/>
  <c r="O31" i="42"/>
  <c r="AC22" i="42"/>
  <c r="AN8" i="42"/>
  <c r="AK49" i="43"/>
  <c r="R5" i="42"/>
  <c r="AF7" i="42"/>
  <c r="J30" i="42"/>
  <c r="G31" i="42"/>
  <c r="P41" i="43"/>
  <c r="R20" i="42"/>
  <c r="W20" i="43"/>
  <c r="AI15" i="42"/>
  <c r="AJ11" i="42"/>
  <c r="AC7" i="42"/>
  <c r="L15" i="42"/>
  <c r="AO34" i="42"/>
  <c r="S32" i="42"/>
  <c r="Y19" i="42"/>
  <c r="I40" i="42"/>
  <c r="AO25" i="43"/>
  <c r="AD9" i="42"/>
  <c r="AH42" i="42"/>
  <c r="F40" i="43"/>
  <c r="AB11" i="42"/>
  <c r="AL5" i="42"/>
  <c r="I18" i="42"/>
  <c r="F15" i="42"/>
  <c r="AB15" i="42"/>
  <c r="AH11" i="42"/>
  <c r="G16" i="43"/>
  <c r="U5" i="42"/>
  <c r="F14" i="43"/>
  <c r="V48" i="43"/>
  <c r="AD11" i="42"/>
  <c r="N12" i="42"/>
  <c r="AA47" i="43"/>
  <c r="AI27" i="42"/>
  <c r="AJ38" i="43"/>
  <c r="I25" i="43"/>
  <c r="AN30" i="42"/>
  <c r="F39" i="42"/>
  <c r="F7" i="42"/>
  <c r="AG12" i="43"/>
  <c r="AI18" i="42"/>
  <c r="AK14" i="42"/>
  <c r="AN36" i="42"/>
  <c r="Z27" i="42"/>
  <c r="P12" i="42"/>
  <c r="AL31" i="42"/>
  <c r="AH22" i="42"/>
  <c r="O9" i="42"/>
  <c r="K8" i="42"/>
  <c r="G37" i="42"/>
  <c r="AN17" i="42"/>
  <c r="P30" i="42"/>
  <c r="N40" i="42"/>
  <c r="AJ49" i="43"/>
  <c r="E40" i="43"/>
  <c r="M14" i="42"/>
  <c r="AC11" i="42"/>
  <c r="AO18" i="42"/>
  <c r="AG7" i="42"/>
  <c r="M20" i="43"/>
  <c r="AC39" i="43"/>
  <c r="W8" i="42"/>
  <c r="Z25" i="43"/>
  <c r="Z7" i="42"/>
  <c r="M41" i="43"/>
  <c r="K19" i="42"/>
  <c r="P16" i="43"/>
  <c r="W14" i="43"/>
  <c r="J21" i="42"/>
  <c r="J23" i="42"/>
  <c r="J24" i="42"/>
  <c r="N33" i="42"/>
  <c r="G10" i="42"/>
  <c r="AD7" i="42"/>
  <c r="AC41" i="43"/>
  <c r="AA4" i="42"/>
  <c r="I24" i="42"/>
  <c r="O23" i="42"/>
  <c r="F32" i="42"/>
  <c r="R7" i="42"/>
  <c r="AI6" i="42"/>
  <c r="T38" i="43"/>
  <c r="Y34" i="42"/>
  <c r="H21" i="42"/>
  <c r="R33" i="42"/>
  <c r="F24" i="42"/>
  <c r="AK9" i="42"/>
  <c r="V26" i="42"/>
  <c r="J7" i="42"/>
  <c r="AK34" i="42"/>
  <c r="M31" i="42"/>
  <c r="AB39" i="43"/>
  <c r="R6" i="42"/>
  <c r="AL8" i="42"/>
  <c r="AO6" i="42"/>
  <c r="AO19" i="42"/>
  <c r="V40" i="43"/>
  <c r="AO48" i="43"/>
  <c r="G21" i="42"/>
  <c r="K39" i="43"/>
  <c r="J10" i="42"/>
  <c r="J40" i="42"/>
  <c r="AO14" i="43"/>
  <c r="AO39" i="42"/>
  <c r="N21" i="42"/>
  <c r="T41" i="42"/>
  <c r="AN41" i="43"/>
  <c r="M47" i="43"/>
  <c r="L26" i="42"/>
  <c r="M25" i="43"/>
  <c r="V47" i="43"/>
  <c r="AD39" i="43"/>
  <c r="AO14" i="42"/>
  <c r="AE42" i="42"/>
  <c r="H47" i="43"/>
  <c r="L25" i="43"/>
  <c r="Z24" i="42"/>
  <c r="AJ39" i="42"/>
  <c r="U39" i="42"/>
  <c r="N6" i="42"/>
  <c r="G40" i="43"/>
  <c r="J39" i="42"/>
  <c r="AG18" i="42"/>
  <c r="V20" i="43"/>
  <c r="Q42" i="42"/>
  <c r="Q14" i="43"/>
  <c r="AJ30" i="42"/>
  <c r="K41" i="42"/>
  <c r="I3" i="43"/>
  <c r="F47" i="43"/>
  <c r="Z23" i="42"/>
  <c r="Z48" i="43"/>
  <c r="AA32" i="42"/>
  <c r="S40" i="43"/>
  <c r="S47" i="43"/>
  <c r="AO16" i="43"/>
  <c r="AJ17" i="42"/>
  <c r="AG38" i="42"/>
  <c r="R36" i="42"/>
  <c r="Y22" i="42"/>
  <c r="X8" i="42"/>
  <c r="AO7" i="42"/>
  <c r="AG5" i="42"/>
  <c r="AJ22" i="42"/>
  <c r="AA37" i="42"/>
  <c r="AK4" i="42"/>
  <c r="V12" i="43"/>
  <c r="AL22" i="42"/>
  <c r="AL28" i="42"/>
  <c r="AK39" i="42"/>
  <c r="AO12" i="43"/>
  <c r="AL40" i="42"/>
  <c r="AE38" i="43"/>
  <c r="O34" i="42"/>
  <c r="U49" i="43"/>
  <c r="R9" i="42"/>
  <c r="W41" i="42"/>
  <c r="G19" i="42"/>
  <c r="J49" i="43"/>
  <c r="S37" i="42"/>
  <c r="T48" i="43"/>
  <c r="N18" i="42"/>
  <c r="U38" i="42"/>
  <c r="U19" i="42"/>
  <c r="AL42" i="42"/>
  <c r="X16" i="43"/>
  <c r="Z38" i="42"/>
  <c r="Q39" i="43"/>
  <c r="X10" i="42"/>
  <c r="S31" i="42"/>
  <c r="T21" i="42"/>
  <c r="AF9" i="42"/>
  <c r="AG39" i="43"/>
  <c r="Q23" i="42"/>
  <c r="Y26" i="42"/>
  <c r="U48" i="43"/>
  <c r="AH23" i="42"/>
  <c r="AB22" i="42"/>
  <c r="G14" i="43"/>
  <c r="AN14" i="43"/>
  <c r="AH26" i="42"/>
  <c r="Z20" i="42"/>
  <c r="AC6" i="42"/>
  <c r="AL21" i="42"/>
  <c r="AH12" i="43"/>
  <c r="Q28" i="42"/>
  <c r="AD37" i="42"/>
  <c r="Z19" i="42"/>
  <c r="Q42" i="43"/>
  <c r="AA20" i="42"/>
  <c r="AO9" i="42"/>
  <c r="Z8" i="42"/>
  <c r="AH39" i="43"/>
  <c r="F20" i="43"/>
  <c r="F18" i="42"/>
  <c r="AF11" i="42"/>
  <c r="AM19" i="42"/>
  <c r="AM25" i="43"/>
  <c r="V16" i="43"/>
  <c r="S38" i="42"/>
  <c r="W39" i="42"/>
  <c r="H17" i="42"/>
  <c r="O25" i="43"/>
  <c r="AO36" i="42"/>
  <c r="AG10" i="42"/>
  <c r="H9" i="42"/>
  <c r="AF24" i="42"/>
  <c r="O12" i="42"/>
  <c r="Q27" i="42"/>
  <c r="AG4" i="42"/>
  <c r="Z12" i="42"/>
  <c r="AA14" i="43"/>
  <c r="AG15" i="42"/>
  <c r="O12" i="43"/>
  <c r="P27" i="42"/>
  <c r="M21" i="42"/>
  <c r="W12" i="43"/>
  <c r="T12" i="43"/>
  <c r="H16" i="43"/>
  <c r="AG20" i="42"/>
  <c r="U34" i="42"/>
  <c r="AN9" i="42"/>
  <c r="L23" i="42"/>
  <c r="AG30" i="42"/>
  <c r="I33" i="42"/>
  <c r="P8" i="42"/>
  <c r="AB40" i="43"/>
  <c r="H25" i="42"/>
  <c r="V4" i="42"/>
  <c r="S27" i="42"/>
  <c r="W48" i="43"/>
  <c r="AM16" i="43"/>
  <c r="AL30" i="42"/>
  <c r="R39" i="42"/>
  <c r="Z5" i="42"/>
  <c r="V38" i="43"/>
  <c r="X33" i="42"/>
  <c r="AI8" i="42"/>
  <c r="AD24" i="42"/>
  <c r="AC48" i="43"/>
  <c r="K24" i="42"/>
  <c r="AK25" i="43"/>
  <c r="N17" i="42"/>
  <c r="Q34" i="42"/>
  <c r="AN34" i="42"/>
  <c r="AN49" i="43"/>
  <c r="P11" i="42"/>
  <c r="AO17" i="42"/>
  <c r="AH4" i="42"/>
  <c r="AB48" i="43"/>
  <c r="H20" i="42"/>
  <c r="X22" i="42"/>
  <c r="T9" i="42"/>
  <c r="O18" i="42"/>
  <c r="AK41" i="43"/>
  <c r="Y36" i="42"/>
  <c r="E12" i="43"/>
  <c r="AG40" i="43"/>
  <c r="N25" i="43"/>
  <c r="AC33" i="42"/>
  <c r="K49" i="43"/>
  <c r="AK33" i="42"/>
  <c r="AG20" i="43"/>
  <c r="AK21" i="42"/>
  <c r="AI31" i="42"/>
  <c r="G26" i="42"/>
  <c r="N30" i="42"/>
  <c r="AH18" i="42"/>
  <c r="AE16" i="43"/>
  <c r="U21" i="42"/>
  <c r="AE9" i="42"/>
  <c r="X41" i="43"/>
  <c r="AK17" i="42"/>
  <c r="AB34" i="42"/>
  <c r="V39" i="42"/>
  <c r="G34" i="42"/>
  <c r="U3" i="43"/>
  <c r="AK22" i="42"/>
  <c r="F5" i="42"/>
  <c r="AA26" i="42"/>
  <c r="U20" i="42"/>
  <c r="AM41" i="42"/>
  <c r="U14" i="42"/>
  <c r="Q41" i="43"/>
  <c r="F10" i="42"/>
  <c r="AG42" i="43"/>
  <c r="M12" i="43"/>
  <c r="AF6" i="42"/>
  <c r="AH20" i="42"/>
  <c r="AJ20" i="42"/>
  <c r="AN18" i="42"/>
  <c r="R12" i="43"/>
  <c r="M14" i="43"/>
  <c r="AL20" i="42"/>
  <c r="G30" i="42"/>
  <c r="AM17" i="42"/>
  <c r="AO33" i="42"/>
  <c r="G42" i="42"/>
  <c r="AC20" i="43"/>
  <c r="Q17" i="42"/>
  <c r="J20" i="42"/>
  <c r="J25" i="42"/>
  <c r="AC19" i="42"/>
  <c r="U30" i="42"/>
  <c r="T40" i="42"/>
  <c r="M41" i="42"/>
  <c r="T42" i="42"/>
  <c r="V8" i="42"/>
  <c r="V37" i="42"/>
  <c r="U18" i="42"/>
  <c r="T16" i="43"/>
  <c r="R40" i="42"/>
  <c r="Y18" i="42"/>
  <c r="AJ28" i="42"/>
  <c r="AN32" i="42"/>
  <c r="J18" i="42"/>
  <c r="AJ34" i="42"/>
  <c r="Y40" i="43"/>
  <c r="AI25" i="42"/>
  <c r="G8" i="42"/>
  <c r="M25" i="42"/>
  <c r="K14" i="42"/>
  <c r="AH49" i="43"/>
  <c r="AG37" i="42"/>
  <c r="AO12" i="42"/>
  <c r="AA31" i="42"/>
  <c r="T15" i="42"/>
  <c r="F9" i="42"/>
  <c r="N42" i="42"/>
  <c r="AM8" i="42"/>
  <c r="U9" i="42"/>
  <c r="AK10" i="42"/>
  <c r="AL42" i="43"/>
  <c r="AE26" i="42"/>
  <c r="AF12" i="43"/>
  <c r="O19" i="42"/>
  <c r="AL40" i="43"/>
  <c r="G14" i="42"/>
  <c r="R47" i="43"/>
  <c r="AG12" i="42"/>
  <c r="AC25" i="42"/>
  <c r="X37" i="42"/>
  <c r="AK40" i="43"/>
  <c r="K17" i="42"/>
  <c r="E42" i="43"/>
  <c r="W26" i="42"/>
  <c r="AB49" i="43"/>
  <c r="Q25" i="43"/>
  <c r="G5" i="42"/>
  <c r="AE19" i="42"/>
  <c r="F25" i="42"/>
  <c r="Q25" i="42"/>
  <c r="AN20" i="43"/>
  <c r="T14" i="42"/>
  <c r="AM22" i="42"/>
  <c r="AF4" i="42"/>
  <c r="U14" i="43"/>
  <c r="N3" i="43"/>
  <c r="Y30" i="42"/>
  <c r="AG21" i="42"/>
  <c r="AD25" i="43"/>
  <c r="AD20" i="42"/>
  <c r="AE17" i="42"/>
  <c r="Z32" i="42"/>
  <c r="AB38" i="43"/>
  <c r="P3" i="43"/>
  <c r="V49" i="43"/>
  <c r="I17" i="42"/>
  <c r="N48" i="43"/>
  <c r="W5" i="42"/>
  <c r="H8" i="42"/>
  <c r="AO3" i="43"/>
  <c r="G39" i="43"/>
  <c r="Q10" i="42"/>
  <c r="Q39" i="42"/>
  <c r="K12" i="43"/>
  <c r="K39" i="42"/>
  <c r="AB23" i="42"/>
  <c r="Z10" i="42"/>
  <c r="G24" i="42"/>
  <c r="AA49" i="43"/>
  <c r="R22" i="42"/>
  <c r="O22" i="42"/>
  <c r="U12" i="43"/>
  <c r="AM12" i="42"/>
  <c r="AN4" i="42"/>
  <c r="AD12" i="43"/>
  <c r="P23" i="42"/>
  <c r="AM20" i="42"/>
  <c r="K30" i="42"/>
  <c r="AK30" i="42"/>
  <c r="AH17" i="42"/>
  <c r="AI23" i="42"/>
  <c r="R21" i="42"/>
  <c r="AI4" i="42"/>
  <c r="W41" i="43"/>
  <c r="U6" i="42"/>
  <c r="F21" i="42"/>
  <c r="AF33" i="42"/>
  <c r="R23" i="42"/>
  <c r="W21" i="42"/>
  <c r="N38" i="42"/>
  <c r="AO10" i="42"/>
  <c r="AG26" i="42"/>
  <c r="N14" i="43"/>
  <c r="AL33" i="42"/>
  <c r="O39" i="42"/>
  <c r="M30" i="42"/>
  <c r="P5" i="42"/>
  <c r="F30" i="42"/>
  <c r="AJ23" i="42"/>
  <c r="Z20" i="43"/>
  <c r="W32" i="42"/>
  <c r="X17" i="42"/>
  <c r="L38" i="43"/>
  <c r="J5" i="42"/>
  <c r="H30" i="42"/>
  <c r="AA8" i="42"/>
  <c r="AD5" i="42"/>
  <c r="AM14" i="43"/>
  <c r="AE32" i="42"/>
  <c r="AC20" i="42"/>
  <c r="AG41" i="43"/>
  <c r="AN25" i="42"/>
  <c r="Q6" i="42"/>
  <c r="J11" i="42"/>
  <c r="R17" i="42"/>
  <c r="T20" i="42"/>
  <c r="K4" i="42"/>
  <c r="I16" i="43"/>
  <c r="S41" i="43"/>
  <c r="P21" i="42"/>
  <c r="AL36" i="42"/>
  <c r="AH21" i="42"/>
  <c r="AL16" i="43"/>
  <c r="J48" i="43"/>
  <c r="AJ24" i="42"/>
  <c r="AI32" i="42"/>
  <c r="AE41" i="42"/>
  <c r="M38" i="43"/>
  <c r="Z6" i="42"/>
  <c r="G38" i="43"/>
  <c r="AG17" i="42"/>
  <c r="AH6" i="42"/>
  <c r="AL4" i="42"/>
  <c r="AE34" i="42"/>
  <c r="X26" i="42"/>
  <c r="Q21" i="42"/>
  <c r="AE10" i="42"/>
  <c r="L22" i="42"/>
  <c r="G22" i="42"/>
  <c r="AD16" i="43"/>
  <c r="M19" i="42"/>
  <c r="O25" i="42"/>
  <c r="H14" i="42"/>
  <c r="AK7" i="42"/>
  <c r="P9" i="42"/>
  <c r="M9" i="42"/>
  <c r="AA16" i="43"/>
  <c r="AC39" i="42"/>
  <c r="W17" i="42"/>
  <c r="L41" i="43"/>
  <c r="K41" i="43"/>
  <c r="AN14" i="42"/>
  <c r="R25" i="42"/>
  <c r="X19" i="42"/>
  <c r="O26" i="42"/>
  <c r="K25" i="43"/>
  <c r="M42" i="43"/>
  <c r="AH24" i="42"/>
  <c r="AC10" i="42"/>
  <c r="AJ12" i="42"/>
  <c r="X28" i="42"/>
  <c r="AM6" i="42"/>
  <c r="AF14" i="42"/>
  <c r="L12" i="42"/>
  <c r="O16" i="43"/>
  <c r="AK39" i="43"/>
  <c r="U42" i="43"/>
  <c r="K40" i="43"/>
  <c r="AN16" i="43"/>
  <c r="AE39" i="42"/>
  <c r="K23" i="42"/>
  <c r="AA6" i="42"/>
  <c r="AN27" i="42"/>
  <c r="L24" i="42"/>
  <c r="AM23" i="42"/>
  <c r="F20" i="42"/>
  <c r="AI22" i="42"/>
  <c r="L42" i="43"/>
  <c r="Y24" i="42"/>
  <c r="G25" i="42"/>
  <c r="AH31" i="42"/>
  <c r="AH9" i="42"/>
  <c r="F25" i="43"/>
  <c r="Y25" i="43"/>
  <c r="O3" i="43"/>
  <c r="G12" i="43"/>
  <c r="F4" i="42"/>
  <c r="O20" i="43"/>
  <c r="G33" i="42"/>
  <c r="S3" i="43"/>
  <c r="AI49" i="43"/>
  <c r="AA39" i="42"/>
  <c r="H23" i="42"/>
  <c r="AC5" i="42"/>
  <c r="J14" i="43"/>
  <c r="W14" i="42"/>
  <c r="AF41" i="42"/>
  <c r="P14" i="42"/>
  <c r="L8" i="42"/>
  <c r="U37" i="42"/>
  <c r="N27" i="42"/>
  <c r="AH14" i="43"/>
  <c r="W25" i="43"/>
  <c r="H28" i="42"/>
  <c r="AJ14" i="43"/>
  <c r="AE6" i="42"/>
  <c r="AE14" i="42"/>
  <c r="S23" i="42"/>
  <c r="AJ48" i="43"/>
  <c r="AF34" i="42"/>
  <c r="Q24" i="42"/>
  <c r="S16" i="43"/>
  <c r="T32" i="42"/>
  <c r="H20" i="43"/>
  <c r="AF10" i="42"/>
  <c r="Y47" i="43"/>
  <c r="AO26" i="42"/>
  <c r="AI40" i="43"/>
  <c r="P36" i="42"/>
  <c r="AH47" i="43"/>
  <c r="AK6" i="42"/>
  <c r="AM5" i="42"/>
  <c r="AC14" i="43"/>
  <c r="AB12" i="42"/>
  <c r="AB27" i="42"/>
  <c r="U42" i="42"/>
  <c r="G11" i="42"/>
  <c r="AG33" i="42"/>
  <c r="AH14" i="42"/>
  <c r="W31" i="42"/>
  <c r="F16" i="43"/>
  <c r="AD17" i="42"/>
  <c r="AM47" i="43"/>
  <c r="Y6" i="42"/>
  <c r="AL3" i="43"/>
  <c r="M22" i="42"/>
  <c r="U16" i="43"/>
  <c r="AB36" i="42"/>
  <c r="AG8" i="42"/>
  <c r="AL38" i="42"/>
  <c r="V24" i="42"/>
  <c r="K11" i="42"/>
  <c r="AE38" i="42"/>
  <c r="AE48" i="43"/>
  <c r="M26" i="42"/>
  <c r="AB42" i="43"/>
  <c r="P28" i="42"/>
  <c r="AH48" i="43"/>
  <c r="AK40" i="42"/>
  <c r="N15" i="42"/>
  <c r="AN15" i="42"/>
  <c r="I36" i="42"/>
  <c r="AO21" i="42"/>
  <c r="AE20" i="43"/>
  <c r="L42" i="42"/>
  <c r="R30" i="42"/>
  <c r="AB42" i="42"/>
  <c r="Q7" i="42"/>
  <c r="AO28" i="42"/>
  <c r="J31" i="42"/>
  <c r="J38" i="43"/>
  <c r="M40" i="43"/>
  <c r="H26" i="42"/>
  <c r="V11" i="42"/>
  <c r="AC32" i="42"/>
  <c r="H27" i="42"/>
  <c r="Q33" i="42"/>
  <c r="H4" i="42"/>
  <c r="V15" i="42"/>
  <c r="R26" i="42"/>
  <c r="Q30" i="42"/>
  <c r="R40" i="43"/>
  <c r="AA20" i="43"/>
  <c r="V20" i="42"/>
  <c r="AO20" i="43"/>
  <c r="P37" i="42"/>
  <c r="X4" i="42"/>
  <c r="M36" i="42"/>
  <c r="AJ9" i="42"/>
  <c r="F48" i="43"/>
  <c r="K18" i="42"/>
  <c r="K14" i="43"/>
  <c r="AL49" i="43"/>
  <c r="L47" i="43"/>
  <c r="AN23" i="42"/>
  <c r="N31" i="42"/>
  <c r="I8" i="42"/>
  <c r="AI41" i="42"/>
  <c r="U25" i="42"/>
  <c r="K10" i="42"/>
  <c r="U12" i="42"/>
  <c r="AE37" i="42"/>
  <c r="J36" i="42"/>
  <c r="G36" i="42"/>
  <c r="AN12" i="42"/>
  <c r="F8" i="42"/>
  <c r="I38" i="42"/>
  <c r="AG19" i="42"/>
  <c r="F34" i="42"/>
  <c r="I41" i="43"/>
  <c r="AM40" i="42"/>
  <c r="I15" i="42"/>
  <c r="O37" i="42"/>
  <c r="AE18" i="42"/>
  <c r="V25" i="43"/>
  <c r="AJ15" i="42"/>
  <c r="M7" i="42"/>
  <c r="S48" i="43"/>
  <c r="AF19" i="42"/>
  <c r="M28" i="42"/>
  <c r="H32" i="42"/>
  <c r="Z41" i="42"/>
  <c r="AK12" i="43"/>
  <c r="L33" i="42"/>
  <c r="Y11" i="42"/>
  <c r="AB17" i="42"/>
  <c r="AI41" i="43"/>
  <c r="X9" i="42"/>
  <c r="R34" i="42"/>
  <c r="L32" i="42"/>
  <c r="AK20" i="42"/>
  <c r="AH32" i="42"/>
  <c r="O47" i="43"/>
  <c r="W11" i="42"/>
  <c r="M42" i="42"/>
  <c r="Y9" i="42"/>
  <c r="AE14" i="43"/>
  <c r="AL26" i="42"/>
  <c r="AC38" i="42"/>
  <c r="AH25" i="43"/>
  <c r="F11" i="42"/>
  <c r="AA5" i="42"/>
  <c r="W15" i="42"/>
  <c r="J34" i="42"/>
  <c r="AJ37" i="42"/>
  <c r="T37" i="42"/>
  <c r="AB14" i="43"/>
  <c r="AG14" i="43"/>
  <c r="AC8" i="42"/>
  <c r="M10" i="42"/>
  <c r="AG9" i="42"/>
  <c r="K38" i="43"/>
  <c r="Z26" i="42"/>
  <c r="Y15" i="42"/>
  <c r="W6" i="42"/>
  <c r="AO22" i="42"/>
  <c r="AF39" i="43"/>
  <c r="AH42" i="43"/>
  <c r="V40" i="42"/>
  <c r="P7" i="42"/>
  <c r="K9" i="42"/>
  <c r="AG47" i="43"/>
  <c r="AD39" i="42"/>
  <c r="AA9" i="42"/>
  <c r="O33" i="42"/>
  <c r="K26" i="42"/>
  <c r="AH38" i="42"/>
  <c r="Z37" i="42"/>
  <c r="L49" i="43"/>
  <c r="W7" i="42"/>
  <c r="L20" i="43"/>
  <c r="U40" i="43"/>
  <c r="R42" i="42"/>
  <c r="AL47" i="43"/>
  <c r="R8" i="42"/>
  <c r="AD42" i="42"/>
  <c r="J4" i="42"/>
  <c r="O49" i="43"/>
  <c r="S24" i="42"/>
  <c r="Q26" i="42"/>
  <c r="AB16" i="43"/>
  <c r="G41" i="42"/>
  <c r="AL27" i="42"/>
  <c r="AM48" i="43"/>
  <c r="AM14" i="42"/>
  <c r="F19" i="42"/>
  <c r="X12" i="42"/>
  <c r="G18" i="42"/>
  <c r="H39" i="43"/>
  <c r="W39" i="43"/>
  <c r="AL12" i="42"/>
  <c r="S41" i="42"/>
  <c r="J22" i="42"/>
  <c r="M39" i="43"/>
  <c r="AE11" i="42"/>
  <c r="P42" i="43"/>
  <c r="H42" i="43"/>
  <c r="K22" i="42"/>
  <c r="AJ10" i="42"/>
  <c r="AH37" i="42"/>
  <c r="H7" i="42"/>
  <c r="G42" i="43"/>
  <c r="AH39" i="42"/>
  <c r="AM30" i="42"/>
  <c r="R14" i="43"/>
  <c r="Y39" i="42"/>
  <c r="AE40" i="42"/>
  <c r="AE49" i="43"/>
  <c r="R27" i="42"/>
  <c r="V36" i="42"/>
  <c r="AI14" i="42"/>
  <c r="AD41" i="42"/>
  <c r="W40" i="43"/>
  <c r="J12" i="42"/>
  <c r="AA34" i="42"/>
  <c r="R16" i="43"/>
  <c r="F38" i="43"/>
  <c r="I19" i="42"/>
  <c r="M6" i="42"/>
  <c r="AN37" i="42"/>
  <c r="G49" i="43"/>
  <c r="L21" i="42"/>
  <c r="Z14" i="42"/>
  <c r="Q41" i="42"/>
  <c r="K15" i="42"/>
  <c r="AO25" i="42"/>
  <c r="AF14" i="43"/>
  <c r="Q40" i="42"/>
  <c r="AC42" i="43"/>
  <c r="AE25" i="43"/>
  <c r="H22" i="42"/>
  <c r="J42" i="42"/>
  <c r="F39" i="43"/>
  <c r="F42" i="43"/>
  <c r="AN41" i="42"/>
  <c r="V41" i="42"/>
  <c r="E14" i="43"/>
  <c r="Z40" i="42"/>
  <c r="AH40" i="43"/>
  <c r="AG16" i="43"/>
  <c r="X41" i="42"/>
  <c r="AM7" i="42"/>
  <c r="AJ40" i="43"/>
  <c r="AD12" i="42"/>
  <c r="K28" i="42"/>
  <c r="M33" i="42"/>
  <c r="AJ12" i="43"/>
  <c r="Q19" i="42"/>
  <c r="T26" i="42"/>
  <c r="U41" i="42"/>
  <c r="V32" i="42"/>
  <c r="J40" i="43"/>
  <c r="H36" i="42"/>
  <c r="T41" i="43"/>
  <c r="AH40" i="42"/>
  <c r="AG38" i="43"/>
  <c r="AK12" i="42"/>
  <c r="AO31" i="42"/>
  <c r="J28" i="42"/>
  <c r="P14" i="43"/>
  <c r="AF47" i="43"/>
  <c r="AO47" i="43"/>
  <c r="X21" i="42"/>
  <c r="AC40" i="42"/>
  <c r="AK27" i="42"/>
  <c r="AI3" i="43"/>
  <c r="AM31" i="42"/>
  <c r="X39" i="43"/>
  <c r="P42" i="42"/>
  <c r="AI20" i="42"/>
  <c r="M12" i="42"/>
  <c r="H40" i="43"/>
  <c r="X42" i="43"/>
  <c r="AF30" i="42"/>
  <c r="AN38" i="42"/>
  <c r="G25" i="43"/>
  <c r="AD20" i="43"/>
  <c r="J15" i="42"/>
  <c r="AJ16" i="43"/>
  <c r="S9" i="42"/>
  <c r="J6" i="42"/>
  <c r="AE24" i="42"/>
  <c r="G41" i="43"/>
  <c r="I31" i="42"/>
  <c r="AE41" i="43"/>
  <c r="Y16" i="43"/>
  <c r="J26" i="42"/>
  <c r="U28" i="42"/>
  <c r="V27" i="42"/>
  <c r="Z11" i="42"/>
  <c r="AE15" i="42"/>
  <c r="T17" i="42"/>
  <c r="AJ19" i="42"/>
  <c r="P20" i="43"/>
  <c r="AI33" i="42"/>
  <c r="Y23" i="42"/>
  <c r="AH8" i="42"/>
  <c r="W30" i="42"/>
  <c r="T14" i="43"/>
  <c r="K34" i="42"/>
  <c r="AN6" i="42"/>
  <c r="V18" i="42"/>
  <c r="Y38" i="42"/>
  <c r="Y21" i="42"/>
  <c r="F41" i="43"/>
  <c r="T3" i="43"/>
  <c r="AK48" i="43"/>
  <c r="S14" i="43"/>
  <c r="AF23" i="42"/>
  <c r="Q18" i="42"/>
  <c r="AO37" i="42"/>
  <c r="AH5" i="42"/>
  <c r="AO11" i="42"/>
  <c r="T19" i="42"/>
  <c r="AN7" i="42"/>
  <c r="AO23" i="42"/>
  <c r="O10" i="42"/>
  <c r="AN21" i="42"/>
  <c r="Q12" i="43"/>
  <c r="AM10" i="42"/>
  <c r="AA10" i="42"/>
  <c r="V34" i="42"/>
  <c r="W10" i="42"/>
  <c r="S8" i="42"/>
  <c r="W19" i="42"/>
  <c r="Z16" i="43"/>
  <c r="T39" i="42"/>
  <c r="G23" i="42"/>
</calcChain>
</file>

<file path=xl/comments1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226327875979529581665679846019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387604889508611762201489022031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370443601921602238297373348129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515229440487793530199853870351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624775802361416215164120584221</t>
        </r>
      </text>
    </comment>
    <comment ref="J21" authorId="0" shapeId="0">
      <text>
        <r>
          <rPr>
            <sz val="9"/>
            <color indexed="81"/>
            <rFont val="Tahoma"/>
            <family val="2"/>
          </rPr>
          <t xml:space="preserve">n: 226327875979529581665679846019
skew: 1409.309
c0: 110722636433
c1: 998807673
c2: -156348
c3: 220
Y0: -1013364282
Y1: 137833
# MurphyE (Bf=3.00e+04,Bg=3.00e+04,area=3.93e+09) = 7.84e-05
# f(x) = 220*x^3-156348*x^2+998807673*x+110722636433
# g(x) = 137833*x-1013364282
</t>
        </r>
      </text>
    </comment>
    <comment ref="K21" authorId="0" shapeId="0">
      <text>
        <r>
          <rPr>
            <sz val="9"/>
            <color indexed="81"/>
            <rFont val="Tahoma"/>
            <family val="2"/>
          </rPr>
          <t xml:space="preserve">n: 387604889508611762201489022031
skew: 196.909
c0: 123027463686
c1: -37808620
c2: -8262295
c3: 260
Y0: -990223085
Y1: 8276641
# MurphyE (Bf=3.00e+04,Bg=3.00e+04,area=3.93e+09) = 5.35e-05
# f(x) = 260*x^3-8262295*x^2-37808620*x+123027463686
# g(x) = 8276641*x-990223085
</t>
        </r>
      </text>
    </comment>
    <comment ref="L21" authorId="0" shapeId="0">
      <text>
        <r>
          <rPr>
            <sz val="9"/>
            <color indexed="81"/>
            <rFont val="Tahoma"/>
            <family val="2"/>
          </rPr>
          <t xml:space="preserve">n: 370443601921602238297373348129
skew: 554.037
c0: 156634492880
c1: 453755112
c2: -630655
c3: 880
Y0: -644117077
Y1: 929761
# MurphyE (Bf=3.00e+04,Bg=3.00e+04,area=3.93e+09) = 7.87e-05
# f(x) = 880*x^3-630655*x^2+453755112*x+156634492880
# g(x) = 929761*x-644117077
</t>
        </r>
      </text>
    </comment>
    <comment ref="M21" authorId="0" shapeId="0">
      <text>
        <r>
          <rPr>
            <sz val="9"/>
            <color indexed="81"/>
            <rFont val="Tahoma"/>
            <family val="2"/>
          </rPr>
          <t>n: 515229440487793530199853870351
skew: 1134.151
c0: 73296602299
c1: 1089556067
c2: -179566
c3: 400
Y0: -1094148258
Y1: 116939
# MurphyE (Bf=3.00e+04,Bg=3.00e+04,area=3.93e+09) = 0.000108
# f(x) = 400*x^3-179566*x^2+1089556067*x+73296602299
# g(x) = 116939*x-1094148258</t>
        </r>
      </text>
    </comment>
    <comment ref="N21" authorId="0" shapeId="0">
      <text>
        <r>
          <rPr>
            <sz val="9"/>
            <color indexed="81"/>
            <rFont val="Tahoma"/>
            <family val="2"/>
          </rPr>
          <t>n: 624775802361416215164120584221
skew: 529.953
c0: 100022140527
c1: -690543246
c2: -728721
c3: 560
Y0: 39248782
Y1: 1757587
# MurphyE (Bf=3.00e+04,Bg=3.00e+04,area=3.93e+09) = 0.000122
# f(x) = 560*x^3-728721*x^2-690543246*x+100022140527
# g(x) = 1757587*x+39248782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226327875979529581665679846019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387604889508611762201489022031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370443601921602238297373348129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515229440487793530199853870351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624775802361416215164120584221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226327875979529581665679846019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387604889508611762201489022031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370443601921602238297373348129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515229440487793530199853870351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624775802361416215164120584221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226327875979529581665679846019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387604889508611762201489022031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370443601921602238297373348129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515229440487793530199853870351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624775802361416215164120584221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270158962474278129947502529393947224155579519000305399284327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131600574953818533525929343912141699516620847096154272379583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153070622044179057748882207451528002951447706011564882352137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380916369369166223835000840537989330192067514115963099870969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565659396215769938944550584754159495444187942355479137867573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270158962474278129947502529393947224155579519000305399284327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131600574953818533525929343912141699516620847096154272379583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153070622044179057748882207451528002951447706011564882352137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380916369369166223835000840537989330192067514115963099870969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565659396215769938944550584754159495444187942355479137867573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270158962474278129947502529393947224155579519000305399284327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131600574953818533525929343912141699516620847096154272379583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153070622044179057748882207451528002951447706011564882352137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380916369369166223835000840537989330192067514115963099870969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565659396215769938944550584754159495444187942355479137867573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270158962474278129947502529393947224155579519000305399284327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131600574953818533525929343912141699516620847096154272379583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153070622044179057748882207451528002951447706011564882352137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380916369369166223835000840537989330192067514115963099870969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565659396215769938944550584754159495444187942355479137867573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70962333159300323860735946025580465706386779914381672223396967421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52479099003518608005080416097399317927718712579637510608856363439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12814840935471330219401575866111072862033390263058815039817464287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41245809621063758265950275763457507730272824530590064942826209679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35616136061773700593614957693428344075535945490634915240971928661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70962333159300323860735946025580465706386779914381672223396967421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52479099003518608005080416097399317927718712579637510608856363439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12814840935471330219401575866111072862033390263058815039817464287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41245809621063758265950275763457507730272824530590064942826209679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35616136061773700593614957693428344075535945490634915240971928661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70962333159300323860735946025580465706386779914381672223396967421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52479099003518608005080416097399317927718712579637510608856363439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12814840935471330219401575866111072862033390263058815039817464287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41245809621063758265950275763457507730272824530590064942826209679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35616136061773700593614957693428344075535945490634915240971928661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70962333159300323860735946025580465706386779914381672223396967421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52479099003518608005080416097399317927718712579637510608856363439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12814840935471330219401575866111072862033390263058815039817464287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41245809621063758265950275763457507730272824530590064942826209679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35616136061773700593614957693428344075535945490634915240971928661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7007199623260070419891582873314225809578533267105177542008744151803309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3448218399959819970213731562518237292980562954246763361792618589367751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8518687540800641470757003759308721783566226486124083108546231255563879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1276840775767784521802327765895334261544253657624622651734099432799751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1267684099171223704859141191406919890628420123767863609736051280841499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7007199623260070419891582873314225809578533267105177542008744151803309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3448218399959819970213731562518237292980562954246763361792618589367751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8518687540800641470757003759308721783566226486124083108546231255563879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1276840775767784521802327765895334261544253657624622651734099432799751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1267684099171223704859141191406919890628420123767863609736051280841499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7007199623260070419891582873314225809578533267105177542008744151803309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3448218399959819970213731562518237292980562954246763361792618589367751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8518687540800641470757003759308721783566226486124083108546231255563879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1276840775767784521802327765895334261544253657624622651734099432799751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1267684099171223704859141191406919890628420123767863609736051280841499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7007199623260070419891582873314225809578533267105177542008744151803309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3448218399959819970213731562518237292980562954246763361792618589367751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8518687540800641470757003759308721783566226486124083108546231255563879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1276840775767784521802327765895334261544253657624622651734099432799751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1267684099171223704859141191406919890628420123767863609736051280841499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102444265494038317684651151787242362882021014514791324932403992108079572377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433893177300217311933345121088601425145377048510987183996038418426126989639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633676781513029976808183874187929054298089801609412027629645325509579477943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381561302993538998124230560277302039953802679219892467041697202762906088489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264072912716433633215530290378250436849916754398247021017432273328194266291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102444265494038317684651151787242362882021014514791324932403992108079572377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433893177300217311933345121088601425145377048510987183996038418426126989639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633676781513029976808183874187929054298089801609412027629645325509579477943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381561302993538998124230560277302039953802679219892467041697202762906088489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264072912716433633215530290378250436849916754398247021017432273328194266291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102444265494038317684651151787242362882021014514791324932403992108079572377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433893177300217311933345121088601425145377048510987183996038418426126989639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633676781513029976808183874187929054298089801609412027629645325509579477943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381561302993538998124230560277302039953802679219892467041697202762906088489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264072912716433633215530290378250436849916754398247021017432273328194266291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102444265494038317684651151787242362882021014514791324932403992108079572377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433893177300217311933345121088601425145377048510987183996038418426126989639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633676781513029976808183874187929054298089801609412027629645325509579477943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381561302993538998124230560277302039953802679219892467041697202762906088489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264072912716433633215530290378250436849916754398247021017432273328194266291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42959426659403176239217003499730158418529415254687619782970463232061782975241501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19759049448439479184176522937086424897451260570328627367363435680238702529183361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37152483052412512844574497825524744591149741931125887882542608754368617228252237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36616247471704821571396576989092411039908631698996839097279168833848305996797149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12421733323839411520678710016028909439800915816097304142171943466998715890038957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42959426659403176239217003499730158418529415254687619782970463232061782975241501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19759049448439479184176522937086424897451260570328627367363435680238702529183361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37152483052412512844574497825524744591149741931125887882542608754368617228252237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36616247471704821571396576989092411039908631698996839097279168833848305996797149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12421733323839411520678710016028909439800915816097304142171943466998715890038957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42959426659403176239217003499730158418529415254687619782970463232061782975241501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19759049448439479184176522937086424897451260570328627367363435680238702529183361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37152483052412512844574497825524744591149741931125887882542608754368617228252237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36616247471704821571396576989092411039908631698996839097279168833848305996797149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12421733323839411520678710016028909439800915816097304142171943466998715890038957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42959426659403176239217003499730158418529415254687619782970463232061782975241501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19759049448439479184176522937086424897451260570328627367363435680238702529183361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37152483052412512844574497825524744591149741931125887882542608754368617228252237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36616247471704821571396576989092411039908631698996839097279168833848305996797149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12421733323839411520678710016028909439800915816097304142171943466998715890038957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1982277624322674894166113602837774174396574680301486892709034652811641280371438526741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1552524569620097059676866144089806746335565715173527535171195567117983196618960037699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1522514635578700753973305220054513054916889591398616119162910213373611813785934455373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5051760522808449102576704875669572295270392323398841231956571756675349436204020937259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1239291056041834127368973278360887792675560719580177612737247875066429830232844651519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1982277624322674894166113602837774174396574680301486892709034652811641280371438526741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1552524569620097059676866144089806746335565715173527535171195567117983196618960037699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1522514635578700753973305220054513054916889591398616119162910213373611813785934455373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5051760522808449102576704875669572295270392323398841231956571756675349436204020937259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1239291056041834127368973278360887792675560719580177612737247875066429830232844651519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1982277624322674894166113602837774174396574680301486892709034652811641280371438526741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1552524569620097059676866144089806746335565715173527535171195567117983196618960037699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1522514635578700753973305220054513054916889591398616119162910213373611813785934455373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5051760522808449102576704875669572295270392323398841231956571756675349436204020937259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1239291056041834127368973278360887792675560719580177612737247875066429830232844651519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1982277624322674894166113602837774174396574680301486892709034652811641280371438526741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1552524569620097059676866144089806746335565715173527535171195567117983196618960037699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1522514635578700753973305220054513054916889591398616119162910213373611813785934455373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5051760522808449102576704875669572295270392323398841231956571756675349436204020937259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1239291056041834127368973278360887792675560719580177612737247875066429830232844651519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423213363606910884156501966398441051219545534615527753346156562802474357678893912914947457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184671798994144388450740670736346276089352361995825420520944120957617032299049814625467061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866249583943358239154799858013318433163274188174537690213121264504406860174070035496964757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229901080986746419740320242604781604840032464288022731627925086990513440697776302730433269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282870558436723026339194438328553767891082454502269029260811614891102499519285555423361083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423213363606910884156501966398441051219545534615527753346156562802474357678893912914947457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184671798994144388450740670736346276089352361995825420520944120957617032299049814625467061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866249583943358239154799858013318433163274188174537690213121264504406860174070035496964757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229901080986746419740320242604781604840032464288022731627925086990513440697776302730433269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282870558436723026339194438328553767891082454502269029260811614891102499519285555423361083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423213363606910884156501966398441051219545534615527753346156562802474357678893912914947457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184671798994144388450740670736346276089352361995825420520944120957617032299049814625467061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866249583943358239154799858013318433163274188174537690213121264504406860174070035496964757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229901080986746419740320242604781604840032464288022731627925086990513440697776302730433269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282870558436723026339194438328553767891082454502269029260811614891102499519285555423361083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423213363606910884156501966398441051219545534615527753346156562802474357678893912914947457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184671798994144388450740670736346276089352361995825420520944120957617032299049814625467061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866249583943358239154799858013318433163274188174537690213121264504406860174070035496964757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229901080986746419740320242604781604840032464288022731627925086990513440697776302730433269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282870558436723026339194438328553767891082454502269029260811614891102499519285555423361083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34425671490948925476223459984882263766760541128851296269882471211236838562689825581339217285359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15269085668259953802869624126444058639982688070827967423798590155048553138355264957525950144917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43932795524193213071766766055631100086321720653581274279530901950260828130746008631444664777427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30334770380952130350984312929584450719251477802068567139598913698302420831875387281533732781777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67446701568498455289078930057344329985692750835566869326594174894570037482397151725541790841601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34425671490948925476223459984882263766760541128851296269882471211236838562689825581339217285359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15269085668259953802869624126444058639982688070827967423798590155048553138355264957525950144917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43932795524193213071766766055631100086321720653581274279530901950260828130746008631444664777427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30334770380952130350984312929584450719251477802068567139598913698302420831875387281533732781777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67446701568498455289078930057344329985692750835566869326594174894570037482397151725541790841601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34425671490948925476223459984882263766760541128851296269882471211236838562689825581339217285359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15269085668259953802869624126444058639982688070827967423798590155048553138355264957525950144917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43932795524193213071766766055631100086321720653581274279530901950260828130746008631444664777427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30334770380952130350984312929584450719251477802068567139598913698302420831875387281533732781777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67446701568498455289078930057344329985692750835566869326594174894570037482397151725541790841601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34425671490948925476223459984882263766760541128851296269882471211236838562689825581339217285359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15269085668259953802869624126444058639982688070827967423798590155048553138355264957525950144917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43932795524193213071766766055631100086321720653581274279530901950260828130746008631444664777427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30334770380952130350984312929584450719251477802068567139598913698302420831875387281533732781777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67446701568498455289078930057344329985692750835566869326594174894570037482397151725541790841601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1699360081642014860420717078071627929658348036818807730347988473658544991760292729285855997825186181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2032495507637430007522955859714336978236993713672629947215141876907439766853113673394703166352944473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1683722612643072941795467218285266618337768528127389148319489983647621095088210332519817173589818837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7463792155329166610627734665894027825986602260060189856351457659187409382384775359598966489488369721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4713951818524346948398418905711897245745135725765716127537200521426793716963183292836093583284857047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1699360081642014860420717078071627929658348036818807730347988473658544991760292729285855997825186181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2032495507637430007522955859714336978236993713672629947215141876907439766853113673394703166352944473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1683722612643072941795467218285266618337768528127389148319489983647621095088210332519817173589818837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7463792155329166610627734665894027825986602260060189856351457659187409382384775359598966489488369721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4713951818524346948398418905711897245745135725765716127537200521426793716963183292836093583284857047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1699360081642014860420717078071627929658348036818807730347988473658544991760292729285855997825186181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2032495507637430007522955859714336978236993713672629947215141876907439766853113673394703166352944473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1683722612643072941795467218285266618337768528127389148319489983647621095088210332519817173589818837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7463792155329166610627734665894027825986602260060189856351457659187409382384775359598966489488369721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4713951818524346948398418905711897245745135725765716127537200521426793716963183292836093583284857047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1699360081642014860420717078071627929658348036818807730347988473658544991760292729285855997825186181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2032495507637430007522955859714336978236993713672629947215141876907439766853113673394703166352944473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1683722612643072941795467218285266618337768528127389148319489983647621095088210332519817173589818837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7463792155329166610627734665894027825986602260060189856351457659187409382384775359598966489488369721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4713951818524346948398418905711897245745135725765716127537200521426793716963183292836093583284857047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456061540933728858109333051425119781411707491537069633620661295756448294175717904489933113996816497101783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367670321157818650645779808749655412530314416251316926029705349484547757084369651412608776611425156084007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113109871018444365559380462232262572911788925605804463697635467692610517691171599178608010985521431081473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165375901337932198594032300024741182842516395236550058326797800142356135710546711678910350743744195796433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136703441137986342887888896648127849331127342588796675718513548821010374562549372733157168929031278785983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456061540933728858109333051425119781411707491537069633620661295756448294175717904489933113996816497101783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367670321157818650645779808749655412530314416251316926029705349484547757084369651412608776611425156084007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113109871018444365559380462232262572911788925605804463697635467692610517691171599178608010985521431081473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165375901337932198594032300024741182842516395236550058326797800142356135710546711678910350743744195796433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136703441137986342887888896648127849331127342588796675718513548821010374562549372733157168929031278785983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456061540933728858109333051425119781411707491537069633620661295756448294175717904489933113996816497101783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367670321157818650645779808749655412530314416251316926029705349484547757084369651412608776611425156084007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113109871018444365559380462232262572911788925605804463697635467692610517691171599178608010985521431081473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165375901337932198594032300024741182842516395236550058326797800142356135710546711678910350743744195796433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136703441137986342887888896648127849331127342588796675718513548821010374562549372733157168929031278785983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456061540933728858109333051425119781411707491537069633620661295756448294175717904489933113996816497101783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367670321157818650645779808749655412530314416251316926029705349484547757084369651412608776611425156084007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113109871018444365559380462232262572911788925605804463697635467692610517691171599178608010985521431081473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165375901337932198594032300024741182842516395236550058326797800142356135710546711678910350743744195796433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136703441137986342887888896648127849331127342588796675718513548821010374562549372733157168929031278785983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60831872222661371519146967422257906639576209121417275458849106182842547232027230798645985755218946281662570549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27018444443955455384360816714273979357813913642836331965166379641202172032984003015092904979001935232286956913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33642971829445109803937571283490886401895116941917544544732912520867266187698192972733797048162182061015473247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56495171131386014169720786668649033175700744463441388856533206111484505218915428675514432837577343533605207783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55530594326113474182160298324127005843304530889177083159024966848792871299411699285172798603813703033877923697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226327875979529581665679846019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387604889508611762201489022031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370443601921602238297373348129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515229440487793530199853870351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624775802361416215164120584221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226327875979529581665679846019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387604889508611762201489022031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370443601921602238297373348129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515229440487793530199853870351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624775802361416215164120584221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226327875979529581665679846019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387604889508611762201489022031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370443601921602238297373348129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515229440487793530199853870351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624775802361416215164120584221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3299818701169028231083714458802187217151460356501487873774077618273722628765048710040433684567754065664672378768751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9556800373586145720294028588533235274909730308022800428221709185291266149423247492577223074349063716977759880510649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2089523009936026346105309899671844297380857933077664097372702751496528186054340691123487955125211707639796062534903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3172920830367544653979403026411202511893604106241038534524041279008259711515872872934868259284807431274590246227689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4049690805224063781191130535622859362329294745523120971733762249363483306734425958344127861015485921568071304415763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3299818701169028231083714458802187217151460356501487873774077618273722628765048710040433684567754065664672378768751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9556800373586145720294028588533235274909730308022800428221709185291266149423247492577223074349063716977759880510649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2089523009936026346105309899671844297380857933077664097372702751496528186054340691123487955125211707639796062534903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3172920830367544653979403026411202511893604106241038534524041279008259711515872872934868259284807431274590246227689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4049690805224063781191130535622859362329294745523120971733762249363483306734425958344127861015485921568071304415763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3299818701169028231083714458802187217151460356501487873774077618273722628765048710040433684567754065664672378768751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9556800373586145720294028588533235274909730308022800428221709185291266149423247492577223074349063716977759880510649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2089523009936026346105309899671844297380857933077664097372702751496528186054340691123487955125211707639796062534903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3172920830367544653979403026411202511893604106241038534524041279008259711515872872934868259284807431274590246227689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4049690805224063781191130535622859362329294745523120971733762249363483306734425958344127861015485921568071304415763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3299818701169028231083714458802187217151460356501487873774077618273722628765048710040433684567754065664672378768751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9556800373586145720294028588533235274909730308022800428221709185291266149423247492577223074349063716977759880510649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2089523009936026346105309899671844297380857933077664097372702751496528186054340691123487955125211707639796062534903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3172920830367544653979403026411202511893604106241038534524041279008259711515872872934868259284807431274590246227689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4049690805224063781191130535622859362329294745523120971733762249363483306734425958344127861015485921568071304415763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375129806899842702283647387915826564839231178100606601291551135978895340129999335512115000913633721507762008940174595593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478939705232378264845398036470686332398191229446327771777993232814934226338312963149460413662973870537679197582466996139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307941642614504714455555413263409595902775829500238373851743912449957328662462833778358698156502436499417915470376462937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293859972112083980642082522420646162361844537151861777231744369514932626341554771288266582949094997936005205213450659119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209265068809712355857441645071962608326533083243845291421739451244537615679797110811550669021347723015704808320885370521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375129806899842702283647387915826564839231178100606601291551135978895340129999335512115000913633721507762008940174595593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478939705232378264845398036470686332398191229446327771777993232814934226338312963149460413662973870537679197582466996139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307941642614504714455555413263409595902775829500238373851743912449957328662462833778358698156502436499417915470376462937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293859972112083980642082522420646162361844537151861777231744369514932626341554771288266582949094997936005205213450659119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209265068809712355857441645071962608326533083243845291421739451244537615679797110811550669021347723015704808320885370521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375129806899842702283647387915826564839231178100606601291551135978895340129999335512115000913633721507762008940174595593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478939705232378264845398036470686332398191229446327771777993232814934226338312963149460413662973870537679197582466996139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307941642614504714455555413263409595902775829500238373851743912449957328662462833778358698156502436499417915470376462937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293859972112083980642082522420646162361844537151861777231744369514932626341554771288266582949094997936005205213450659119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209265068809712355857441645071962608326533083243845291421739451244537615679797110811550669021347723015704808320885370521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375129806899842702283647387915826564839231178100606601291551135978895340129999335512115000913633721507762008940174595593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478939705232378264845398036470686332398191229446327771777993232814934226338312963149460413662973870537679197582466996139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307941642614504714455555413263409595902775829500238373851743912449957328662462833778358698156502436499417915470376462937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293859972112083980642082522420646162361844537151861777231744369514932626341554771288266582949094997936005205213450659119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209265068809712355857441645071962608326533083243845291421739451244537615679797110811550669021347723015704808320885370521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23284739683084317155730403309359914043623914413400375656846891615492514566897615119808686846793218317657761808604631926651237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19252289640700432132187371675550161608392564227537338088451948469467762677497931814469748088164148203273537403232824707136261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25832623339338825694390406435573233437370040570268489781691229389136510776517502899537195439119356987309191259261689169363521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16660978985315783935939110078095926741301464869634296250267244872778200976659974102250907200931626239947418964545035159859389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28558517379475728858302729261510778556092841387471899741084313618583174033759974285578782345225418045940100459964570791168471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23284739683084317155730403309359914043623914413400375656846891615492514566897615119808686846793218317657761808604631926651237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19252289640700432132187371675550161608392564227537338088451948469467762677497931814469748088164148203273537403232824707136261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25832623339338825694390406435573233437370040570268489781691229389136510776517502899537195439119356987309191259261689169363521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16660978985315783935939110078095926741301464869634296250267244872778200976659974102250907200931626239947418964545035159859389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28558517379475728858302729261510778556092841387471899741084313618583174033759974285578782345225418045940100459964570791168471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23284739683084317155730403309359914043623914413400375656846891615492514566897615119808686846793218317657761808604631926651237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19252289640700432132187371675550161608392564227537338088451948469467762677497931814469748088164148203273537403232824707136261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25832623339338825694390406435573233437370040570268489781691229389136510776517502899537195439119356987309191259261689169363521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16660978985315783935939110078095926741301464869634296250267244872778200976659974102250907200931626239947418964545035159859389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28558517379475728858302729261510778556092841387471899741084313618583174033759974285578782345225418045940100459964570791168471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23284739683084317155730403309359914043623914413400375656846891615492514566897615119808686846793218317657761808604631926651237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19252289640700432132187371675550161608392564227537338088451948469467762677497931814469748088164148203273537403232824707136261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25832623339338825694390406435573233437370040570268489781691229389136510776517502899537195439119356987309191259261689169363521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16660978985315783935939110078095926741301464869634296250267244872778200976659974102250907200931626239947418964545035159859389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28558517379475728858302729261510778556092841387471899741084313618583174033759974285578782345225418045940100459964570791168471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1496218143364729139473684184761740469986770279873064065018290555248593915697219341051261019783688134634959143745144437808534392939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2673275296246799897604776425603834015574405042358085837808070575839635072407991308965219449229802628921742514050262758626047043529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1035190342334845975950766795073110670193835592571448915206110492020642830871923950309705315384540115333989436275751145837998828041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2662058488445421478966278638032756194294543648424710720989461829234749555007994689922316080456221619228264011440218236831359922041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3131739377051862658405291693523567051115454415164781471849709420564920768859133528571228383134587862463538746477474202351233332889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1496218143364729139473684184761740469986770279873064065018290555248593915697219341051261019783688134634959143745144437808534392939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2673275296246799897604776425603834015574405042358085837808070575839635072407991308965219449229802628921742514050262758626047043529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1035190342334845975950766795073110670193835592571448915206110492020642830871923950309705315384540115333989436275751145837998828041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2662058488445421478966278638032756194294543648424710720989461829234749555007994689922316080456221619228264011440218236831359922041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3131739377051862658405291693523567051115454415164781471849709420564920768859133528571228383134587862463538746477474202351233332889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1496218143364729139473684184761740469986770279873064065018290555248593915697219341051261019783688134634959143745144437808534392939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2673275296246799897604776425603834015574405042358085837808070575839635072407991308965219449229802628921742514050262758626047043529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1035190342334845975950766795073110670193835592571448915206110492020642830871923950309705315384540115333989436275751145837998828041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2662058488445421478966278638032756194294543648424710720989461829234749555007994689922316080456221619228264011440218236831359922041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3131739377051862658405291693523567051115454415164781471849709420564920768859133528571228383134587862463538746477474202351233332889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1496218143364729139473684184761740469986770279873064065018290555248593915697219341051261019783688134634959143745144437808534392939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2673275296246799897604776425603834015574405042358085837808070575839635072407991308965219449229802628921742514050262758626047043529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1035190342334845975950766795073110670193835592571448915206110492020642830871923950309705315384540115333989436275751145837998828041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2662058488445421478966278638032756194294543648424710720989461829234749555007994689922316080456221619228264011440218236831359922041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3131739377051862658405291693523567051115454415164781471849709420564920768859133528571228383134587862463538746477474202351233332889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261761204445943875386456374519977268406096931318954791867913558668700621513512518574931933294924974685539474198446881609603817839516401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169421067753974474815306735819661754806143405965872945756878409601871566784540856659472855693831184536038762673582973635938378029107677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884422275205655482174133593848433684581714205290975229986739821746534037220314268752845316150491983772874820751946612279791269676519429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307586553905714907534126075301968300071112132634212770650068108336229716587485934938946570874525427621243057985608754408545915412689001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325857217906273472956557934018921751621475637986238418240466665327099239483300091285436061015022508770086351846014138320561985732077759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261761204445943875386456374519977268406096931318954791867913558668700621513512518574931933294924974685539474198446881609603817839516401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169421067753974474815306735819661754806143405965872945756878409601871566784540856659472855693831184536038762673582973635938378029107677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884422275205655482174133593848433684581714205290975229986739821746534037220314268752845316150491983772874820751946612279791269676519429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307586553905714907534126075301968300071112132634212770650068108336229716587485934938946570874525427621243057985608754408545915412689001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325857217906273472956557934018921751621475637986238418240466665327099239483300091285436061015022508770086351846014138320561985732077759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261761204445943875386456374519977268406096931318954791867913558668700621513512518574931933294924974685539474198446881609603817839516401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169421067753974474815306735819661754806143405965872945756878409601871566784540856659472855693831184536038762673582973635938378029107677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884422275205655482174133593848433684581714205290975229986739821746534037220314268752845316150491983772874820751946612279791269676519429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307586553905714907534126075301968300071112132634212770650068108336229716587485934938946570874525427621243057985608754408545915412689001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325857217906273472956557934018921751621475637986238418240466665327099239483300091285436061015022508770086351846014138320561985732077759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261761204445943875386456374519977268406096931318954791867913558668700621513512518574931933294924974685539474198446881609603817839516401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169421067753974474815306735819661754806143405965872945756878409601871566784540856659472855693831184536038762673582973635938378029107677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884422275205655482174133593848433684581714205290975229986739821746534037220314268752845316150491983772874820751946612279791269676519429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307586553905714907534126075301968300071112132634212770650068108336229716587485934938946570874525427621243057985608754408545915412689001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325857217906273472956557934018921751621475637986238418240466665327099239483300091285436061015022508770086351846014138320561985732077759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21518895483760157344459141812598966258911311051957672110412053315119220981913364683719917964363948796392487718413175789283267280883680314459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21112565800036966601626086270757193776823694451698801632090993180051713287833445181080945637503400666776114380772486694295253544269388082153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21847611440187902818264035714690969400832172951534512314409446219759841021343747586614462031325868321460190836919940867181734697026849969781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13952013649488424409965114048808966747649747308260519713127930488858761111087331868673769381015994755595643941919136024272828336752889491021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14281484068437769673352134273034840476823628499468634411553940235074881250540871279055603523492045352125806253558187444611512640897906205037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21518895483760157344459141812598966258911311051957672110412053315119220981913364683719917964363948796392487718413175789283267280883680314459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21112565800036966601626086270757193776823694451698801632090993180051713287833445181080945637503400666776114380772486694295253544269388082153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21847611440187902818264035714690969400832172951534512314409446219759841021343747586614462031325868321460190836919940867181734697026849969781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13952013649488424409965114048808966747649747308260519713127930488858761111087331868673769381015994755595643941919136024272828336752889491021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14281484068437769673352134273034840476823628499468634411553940235074881250540871279055603523492045352125806253558187444611512640897906205037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21518895483760157344459141812598966258911311051957672110412053315119220981913364683719917964363948796392487718413175789283267280883680314459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21112565800036966601626086270757193776823694451698801632090993180051713287833445181080945637503400666776114380772486694295253544269388082153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21847611440187902818264035714690969400832172951534512314409446219759841021343747586614462031325868321460190836919940867181734697026849969781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13952013649488424409965114048808966747649747308260519713127930488858761111087331868673769381015994755595643941919136024272828336752889491021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14281484068437769673352134273034840476823628499468634411553940235074881250540871279055603523492045352125806253558187444611512640897906205037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21518895483760157344459141812598966258911311051957672110412053315119220981913364683719917964363948796392487718413175789283267280883680314459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21112565800036966601626086270757193776823694451698801632090993180051713287833445181080945637503400666776114380772486694295253544269388082153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21847611440187902818264035714690969400832172951534512314409446219759841021343747586614462031325868321460190836919940867181734697026849969781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13952013649488424409965114048808966747649747308260519713127930488858761111087331868673769381015994755595643941919136024272828336752889491021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14281484068437769673352134273034840476823628499468634411553940235074881250540871279055603523492045352125806253558187444611512640897906205037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2183878804632798771721806557527261562473157177141394798899455029707621833264704539372272846357754665019703877628303393416862603666303951381450209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3030778261387780666360920626519899156385462909993622579231749567622899252371490705309414631140107441806702066016872777539268494526082565701375721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5097983836999373019992271490161777364490287389479520441154625283353349557107962354885402864820149606991089991856669198496465053302135162910071747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3856385377330992494500429666256073412992286834583716770586353510370918707785474299136305953078308787077142673811292573695309461889843376858250057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1610312314704278390300992974021185713242459617869682434598609536376541064839023142184387451513303410118579841624971326648030378422096997992945107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2183878804632798771721806557527261562473157177141394798899455029707621833264704539372272846357754665019703877628303393416862603666303951381450209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3030778261387780666360920626519899156385462909993622579231749567622899252371490705309414631140107441806702066016872777539268494526082565701375721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5097983836999373019992271490161777364490287389479520441154625283353349557107962354885402864820149606991089991856669198496465053302135162910071747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3856385377330992494500429666256073412992286834583716770586353510370918707785474299136305953078308787077142673811292573695309461889843376858250057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1610312314704278390300992974021185713242459617869682434598609536376541064839023142184387451513303410118579841624971326648030378422096997992945107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2183878804632798771721806557527261562473157177141394798899455029707621833264704539372272846357754665019703877628303393416862603666303951381450209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3030778261387780666360920626519899156385462909993622579231749567622899252371490705309414631140107441806702066016872777539268494526082565701375721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5097983836999373019992271490161777364490287389479520441154625283353349557107962354885402864820149606991089991856669198496465053302135162910071747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3856385377330992494500429666256073412992286834583716770586353510370918707785474299136305953078308787077142673811292573695309461889843376858250057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1610312314704278390300992974021185713242459617869682434598609536376541064839023142184387451513303410118579841624971326648030378422096997992945107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2183878804632798771721806557527261562473157177141394798899455029707621833264704539372272846357754665019703877628303393416862603666303951381450209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3030778261387780666360920626519899156385462909993622579231749567622899252371490705309414631140107441806702066016872777539268494526082565701375721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5097983836999373019992271490161777364490287389479520441154625283353349557107962354885402864820149606991089991856669198496465053302135162910071747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3856385377330992494500429666256073412992286834583716770586353510370918707785474299136305953078308787077142673811292573695309461889843376858250057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1610312314704278390300992974021185713242459617869682434598609536376541064839023142184387451513303410118579841624971326648030378422096997992945107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306763591622531278645503958467965138966831490355945005115667968033522873344367448957426827032659703748172994273174520749821325077384421178647857504527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131766043382182211524742320278208517994152963531708790496355823895650101931267988314028937234403827863036047812019184396606795053971078804820947023993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336567534932241819635945436961421376797711971211049703191804571507855332134518983330570950390618249046804456642587841286089772829442520841688616666931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592106747636301861710813279680264217085963790186341642148237196908911578779377063986730042025851495983014035786087190406766059515333094064340471707797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179829435088710579255810100332561565540520978037558031897767607323668130813297045971595456544631844537274797424882466290891587169161360020746839463153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306763591622531278645503958467965138966831490355945005115667968033522873344367448957426827032659703748172994273174520749821325077384421178647857504527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131766043382182211524742320278208517994152963531708790496355823895650101931267988314028937234403827863036047812019184396606795053971078804820947023993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336567534932241819635945436961421376797711971211049703191804571507855332134518983330570950390618249046804456642587841286089772829442520841688616666931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592106747636301861710813279680264217085963790186341642148237196908911578779377063986730042025851495983014035786087190406766059515333094064340471707797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179829435088710579255810100332561565540520978037558031897767607323668130813297045971595456544631844537274797424882466290891587169161360020746839463153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306763591622531278645503958467965138966831490355945005115667968033522873344367448957426827032659703748172994273174520749821325077384421178647857504527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131766043382182211524742320278208517994152963531708790496355823895650101931267988314028937234403827863036047812019184396606795053971078804820947023993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336567534932241819635945436961421376797711971211049703191804571507855332134518983330570950390618249046804456642587841286089772829442520841688616666931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592106747636301861710813279680264217085963790186341642148237196908911578779377063986730042025851495983014035786087190406766059515333094064340471707797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179829435088710579255810100332561565540520978037558031897767607323668130813297045971595456544631844537274797424882466290891587169161360020746839463153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306763591622531278645503958467965138966831490355945005115667968033522873344367448957426827032659703748172994273174520749821325077384421178647857504527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131766043382182211524742320278208517994152963531708790496355823895650101931267988314028937234403827863036047812019184396606795053971078804820947023993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336567534932241819635945436961421376797711971211049703191804571507855332134518983330570950390618249046804456642587841286089772829442520841688616666931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592106747636301861710813279680264217085963790186341642148237196908911578779377063986730042025851495983014035786087190406766059515333094064340471707797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179829435088710579255810100332561565540520978037558031897767607323668130813297045971595456544631844537274797424882466290891587169161360020746839463153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40093271342648696247606523909878266680328071240875245041957973291892938945142796987488361774571931615201008893759384960171670471827823310779371839196673251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41894631175736924810900511195950871632552973287078687326916881573289440891279178453807921565388939025424066134059729048611789957980195330671239395947344587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10203945348094282729035310047171423741783888609397016125945810542740067799853089371839376432422573351159408872922897337013970332804234050339155553748870961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39282641722755873185251229743493481486118299812645148235886081897244535786766513577241467782885712921506101087656027311349987988668275811415996677796632281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20209229728420591820129855965936679570547182942917222368253675616106169837402331292372412596247085118982569349979188086118689167522190269439663906798396821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40093271342648696247606523909878266680328071240875245041957973291892938945142796987488361774571931615201008893759384960171670471827823310779371839196673251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41894631175736924810900511195950871632552973287078687326916881573289440891279178453807921565388939025424066134059729048611789957980195330671239395947344587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10203945348094282729035310047171423741783888609397016125945810542740067799853089371839376432422573351159408872922897337013970332804234050339155553748870961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39282641722755873185251229743493481486118299812645148235886081897244535786766513577241467782885712921506101087656027311349987988668275811415996677796632281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20209229728420591820129855965936679570547182942917222368253675616106169837402331292372412596247085118982569349979188086118689167522190269439663906798396821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40093271342648696247606523909878266680328071240875245041957973291892938945142796987488361774571931615201008893759384960171670471827823310779371839196673251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41894631175736924810900511195950871632552973287078687326916881573289440891279178453807921565388939025424066134059729048611789957980195330671239395947344587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10203945348094282729035310047171423741783888609397016125945810542740067799853089371839376432422573351159408872922897337013970332804234050339155553748870961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39282641722755873185251229743493481486118299812645148235886081897244535786766513577241467782885712921506101087656027311349987988668275811415996677796632281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20209229728420591820129855965936679570547182942917222368253675616106169837402331292372412596247085118982569349979188086118689167522190269439663906798396821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40093271342648696247606523909878266680328071240875245041957973291892938945142796987488361774571931615201008893759384960171670471827823310779371839196673251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41894631175736924810900511195950871632552973287078687326916881573289440891279178453807921565388939025424066134059729048611789957980195330671239395947344587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10203945348094282729035310047171423741783888609397016125945810542740067799853089371839376432422573351159408872922897337013970332804234050339155553748870961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39282641722755873185251229743493481486118299812645148235886081897244535786766513577241467782885712921506101087656027311349987988668275811415996677796632281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20209229728420591820129855965936679570547182942917222368253675616106169837402331292372412596247085118982569349979188086118689167522190269439663906798396821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7525682787483182862011548881004386028544165979952643524228438967724902871782112341673834494708659845832221992229705626481755261552139404861697365457950642922137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6393771293357357421626715239078909441868083758230039446211086244745574353268012146138150548667701719555595878982487989955207121369169912720615219195139534014479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3362717253355592139975226491790120218511546676500669670668839647023174899163400520735363706471678595716987186660261641254961749051775845194669619824599000676843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1876569008462350048633065947008262643453873461696301284778087431766726030441192192891922013248408867625230837200681859326021546694226891928649253657475598761347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6059368366059288302871803205086606517260868125636302073148758613544579652526837396920121334908230930633835734431111760338475543941326250056940137518288726260037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7525682787483182862011548881004386028544165979952643524228438967724902871782112341673834494708659845832221992229705626481755261552139404861697365457950642922137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6393771293357357421626715239078909441868083758230039446211086244745574353268012146138150548667701719555595878982487989955207121369169912720615219195139534014479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3362717253355592139975226491790120218511546676500669670668839647023174899163400520735363706471678595716987186660261641254961749051775845194669619824599000676843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1876569008462350048633065947008262643453873461696301284778087431766726030441192192891922013248408867625230837200681859326021546694226891928649253657475598761347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6059368366059288302871803205086606517260868125636302073148758613544579652526837396920121334908230930633835734431111760338475543941326250056940137518288726260037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7525682787483182862011548881004386028544165979952643524228438967724902871782112341673834494708659845832221992229705626481755261552139404861697365457950642922137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6393771293357357421626715239078909441868083758230039446211086244745574353268012146138150548667701719555595878982487989955207121369169912720615219195139534014479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3362717253355592139975226491790120218511546676500669670668839647023174899163400520735363706471678595716987186660261641254961749051775845194669619824599000676843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1876569008462350048633065947008262643453873461696301284778087431766726030441192192891922013248408867625230837200681859326021546694226891928649253657475598761347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6059368366059288302871803205086606517260868125636302073148758613544579652526837396920121334908230930633835734431111760338475543941326250056940137518288726260037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7525682787483182862011548881004386028544165979952643524228438967724902871782112341673834494708659845832221992229705626481755261552139404861697365457950642922137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6393771293357357421626715239078909441868083758230039446211086244745574353268012146138150548667701719555595878982487989955207121369169912720615219195139534014479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3362717253355592139975226491790120218511546676500669670668839647023174899163400520735363706471678595716987186660261641254961749051775845194669619824599000676843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1876569008462350048633065947008262643453873461696301284778087431766726030441192192891922013248408867625230837200681859326021546694226891928649253657475598761347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6059368366059288302871803205086606517260868125636302073148758613544579652526837396920121334908230930633835734431111760338475543941326250056940137518288726260037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474122892692291934933504420599129153521889783068935890325625254539876394167937180873741374354918105982662427370382915745475952473939778636106922464824183820539259499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671323213358729024017222661432534617724821605918623743204379237692558049303905072739829482208865687713200059988467009891533859411954182529123986733069479885567513943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488527869398873393596148607511995643505963085879921473772135252834605739284227730523118269077322604180046579373795410256431801357092408199126587042556660453801696113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114124437356543341538514626362829195695463325536255183109726213456745277543506229132139006079950306896176062480393088323634157696648189129080998202363845833098501327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478590710761278810528805670239146511066100818990070715748096207474816790781400270247405667952103422423802098135335312819431962589248187705665376429750179580006228269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474122892692291934933504420599129153521889783068935890325625254539876394167937180873741374354918105982662427370382915745475952473939778636106922464824183820539259499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671323213358729024017222661432534617724821605918623743204379237692558049303905072739829482208865687713200059988467009891533859411954182529123986733069479885567513943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488527869398873393596148607511995643505963085879921473772135252834605739284227730523118269077322604180046579373795410256431801357092408199126587042556660453801696113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114124437356543341538514626362829195695463325536255183109726213456745277543506229132139006079950306896176062480393088323634157696648189129080998202363845833098501327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478590710761278810528805670239146511066100818990070715748096207474816790781400270247405667952103422423802098135335312819431962589248187705665376429750179580006228269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474122892692291934933504420599129153521889783068935890325625254539876394167937180873741374354918105982662427370382915745475952473939778636106922464824183820539259499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671323213358729024017222661432534617724821605918623743204379237692558049303905072739829482208865687713200059988467009891533859411954182529123986733069479885567513943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488527869398873393596148607511995643505963085879921473772135252834605739284227730523118269077322604180046579373795410256431801357092408199126587042556660453801696113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114124437356543341538514626362829195695463325536255183109726213456745277543506229132139006079950306896176062480393088323634157696648189129080998202363845833098501327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478590710761278810528805670239146511066100818990070715748096207474816790781400270247405667952103422423802098135335312819431962589248187705665376429750179580006228269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474122892692291934933504420599129153521889783068935890325625254539876394167937180873741374354918105982662427370382915745475952473939778636106922464824183820539259499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671323213358729024017222661432534617724821605918623743204379237692558049303905072739829482208865687713200059988467009891533859411954182529123986733069479885567513943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488527869398873393596148607511995643505963085879921473772135252834605739284227730523118269077322604180046579373795410256431801357092408199126587042556660453801696113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114124437356543341538514626362829195695463325536255183109726213456745277543506229132139006079950306896176062480393088323634157696648189129080998202363845833098501327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478590710761278810528805670239146511066100818990070715748096207474816790781400270247405667952103422423802098135335312819431962589248187705665376429750179580006228269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21026556892326281903013138542923728091868990906168809279720422866658063465446468447879179794203887740034232034316549528388261177122341905172629042760162393032522507714707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47106180099389162376369033849542910289183436782855814722590077932082760516526024631564746716993723947298457134974631844362744464096549381745359614228107795701013437558009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17175219378595860626779492282133899330902829661692416991251201653741532091124034931671073960689705892758036660059701582072201056378847409024064362535670692786497881977431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51245693067100702378803498206490647931640036704605997855937777565298092552664550287302113249041353241727688639787751932559579639508509009340001202623835402429400108777303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13072821593648407819168785080874681753789932929439627938808818857676334607706430575247114809114899423529819509899836730746160996530033298325397200246535324031397632444009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21026556892326281903013138542923728091868990906168809279720422866658063465446468447879179794203887740034232034316549528388261177122341905172629042760162393032522507714707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47106180099389162376369033849542910289183436782855814722590077932082760516526024631564746716993723947298457134974631844362744464096549381745359614228107795701013437558009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17175219378595860626779492282133899330902829661692416991251201653741532091124034931671073960689705892758036660059701582072201056378847409024064362535670692786497881977431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51245693067100702378803498206490647931640036704605997855937777565298092552664550287302113249041353241727688639787751932559579639508509009340001202623835402429400108777303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13072821593648407819168785080874681753789932929439627938808818857676334607706430575247114809114899423529819509899836730746160996530033298325397200246535324031397632444009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21026556892326281903013138542923728091868990906168809279720422866658063465446468447879179794203887740034232034316549528388261177122341905172629042760162393032522507714707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47106180099389162376369033849542910289183436782855814722590077932082760516526024631564746716993723947298457134974631844362744464096549381745359614228107795701013437558009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17175219378595860626779492282133899330902829661692416991251201653741532091124034931671073960689705892758036660059701582072201056378847409024064362535670692786497881977431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51245693067100702378803498206490647931640036704605997855937777565298092552664550287302113249041353241727688639787751932559579639508509009340001202623835402429400108777303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13072821593648407819168785080874681753789932929439627938808818857676334607706430575247114809114899423529819509899836730746160996530033298325397200246535324031397632444009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21026556892326281903013138542923728091868990906168809279720422866658063465446468447879179794203887740034232034316549528388261177122341905172629042760162393032522507714707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47106180099389162376369033849542910289183436782855814722590077932082760516526024631564746716993723947298457134974631844362744464096549381745359614228107795701013437558009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17175219378595860626779492282133899330902829661692416991251201653741532091124034931671073960689705892758036660059701582072201056378847409024064362535670692786497881977431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51245693067100702378803498206490647931640036704605997855937777565298092552664550287302113249041353241727688639787751932559579639508509009340001202623835402429400108777303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13072821593648407819168785080874681753789932929439627938808818857676334607706430575247114809114899423529819509899836730746160996530033298325397200246535324031397632444009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5634053535438733904923869411754404068323242081891095892691202409464834172117459945670677351548249907443549919901081921661409898016434733735905588734993979294455539262605258033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3735180813550729885208533289699896646433183623995947686229268084197895612165379511132612449449522273583173912998099375974917241249200947583964531293165694496284557366792120067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4889540977706928001155342450618134804541472431191621951233668883868297851459190625047535083458096093035547167501083015069274556739365569703173875561706993150289103615042869087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3484281553571344269475487761613793833592503024269860124372527429595360313225524929489204924199546872579034063334725790655720564221806050041234253500172311345830144231084966529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1056739198504024106379535440992567415511943435619916002079116565746764728115537325408324081499016629779725444229074101372646816042627008336008826845448684031615912013962358413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5634053535438733904923869411754404068323242081891095892691202409464834172117459945670677351548249907443549919901081921661409898016434733735905588734993979294455539262605258033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3735180813550729885208533289699896646433183623995947686229268084197895612165379511132612449449522273583173912998099375974917241249200947583964531293165694496284557366792120067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4889540977706928001155342450618134804541472431191621951233668883868297851459190625047535083458096093035547167501083015069274556739365569703173875561706993150289103615042869087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3484281553571344269475487761613793833592503024269860124372527429595360313225524929489204924199546872579034063334725790655720564221806050041234253500172311345830144231084966529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1056739198504024106379535440992567415511943435619916002079116565746764728115537325408324081499016629779725444229074101372646816042627008336008826845448684031615912013962358413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5634053535438733904923869411754404068323242081891095892691202409464834172117459945670677351548249907443549919901081921661409898016434733735905588734993979294455539262605258033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3735180813550729885208533289699896646433183623995947686229268084197895612165379511132612449449522273583173912998099375974917241249200947583964531293165694496284557366792120067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4889540977706928001155342450618134804541472431191621951233668883868297851459190625047535083458096093035547167501083015069274556739365569703173875561706993150289103615042869087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3484281553571344269475487761613793833592503024269860124372527429595360313225524929489204924199546872579034063334725790655720564221806050041234253500172311345830144231084966529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1056739198504024106379535440992567415511943435619916002079116565746764728115537325408324081499016629779725444229074101372646816042627008336008826845448684031615912013962358413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5634053535438733904923869411754404068323242081891095892691202409464834172117459945670677351548249907443549919901081921661409898016434733735905588734993979294455539262605258033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3735180813550729885208533289699896646433183623995947686229268084197895612165379511132612449449522273583173912998099375974917241249200947583964531293165694496284557366792120067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4889540977706928001155342450618134804541472431191621951233668883868297851459190625047535083458096093035547167501083015069274556739365569703173875561706993150289103615042869087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3484281553571344269475487761613793833592503024269860124372527429595360313225524929489204924199546872579034063334725790655720564221806050041234253500172311345830144231084966529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1056739198504024106379535440992567415511943435619916002079116565746764728115537325408324081499016629779725444229074101372646816042627008336008826845448684031615912013962358413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198567326045362958800336752375545810031680391026705921092498815438276357027048361764022219853914265107410854277224290562745530703818724142208382824303331883780580638373011625228743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284040603185713269183300966890658503707966787078244263335872480479996977234207894628233891030497406634194674794895562175375792469025370290184780755391680081808080157735671715921161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668150326645942333820089919243026085122139340916053229136266482040622112031607547211345072858228146401801986517407036230548273021818974979090270278470333996457015506998860120848209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246171178023775280237511365094424636022473768716745140524150826034941020863413921179729376729959508982305653200241262356117575550477511684134559470035712289807730746461858250673769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229977052595525534025240665724910291584015279783076056558738405987392494940401914520349943118267305466193992995180985527711770841393048292356125601323543594573301517616245528164253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198567326045362958800336752375545810031680391026705921092498815438276357027048361764022219853914265107410854277224290562745530703818724142208382824303331883780580638373011625228743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284040603185713269183300966890658503707966787078244263335872480479996977234207894628233891030497406634194674794895562175375792469025370290184780755391680081808080157735671715921161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668150326645942333820089919243026085122139340916053229136266482040622112031607547211345072858228146401801986517407036230548273021818974979090270278470333996457015506998860120848209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246171178023775280237511365094424636022473768716745140524150826034941020863413921179729376729959508982305653200241262356117575550477511684134559470035712289807730746461858250673769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229977052595525534025240665724910291584015279783076056558738405987392494940401914520349943118267305466193992995180985527711770841393048292356125601323543594573301517616245528164253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198567326045362958800336752375545810031680391026705921092498815438276357027048361764022219853914265107410854277224290562745530703818724142208382824303331883780580638373011625228743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284040603185713269183300966890658503707966787078244263335872480479996977234207894628233891030497406634194674794895562175375792469025370290184780755391680081808080157735671715921161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668150326645942333820089919243026085122139340916053229136266482040622112031607547211345072858228146401801986517407036230548273021818974979090270278470333996457015506998860120848209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246171178023775280237511365094424636022473768716745140524150826034941020863413921179729376729959508982305653200241262356117575550477511684134559470035712289807730746461858250673769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229977052595525534025240665724910291584015279783076056558738405987392494940401914520349943118267305466193992995180985527711770841393048292356125601323543594573301517616245528164253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198567326045362958800336752375545810031680391026705921092498815438276357027048361764022219853914265107410854277224290562745530703818724142208382824303331883780580638373011625228743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284040603185713269183300966890658503707966787078244263335872480479996977234207894628233891030497406634194674794895562175375792469025370290184780755391680081808080157735671715921161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668150326645942333820089919243026085122139340916053229136266482040622112031607547211345072858228146401801986517407036230548273021818974979090270278470333996457015506998860120848209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246171178023775280237511365094424636022473768716745140524150826034941020863413921179729376729959508982305653200241262356117575550477511684134559470035712289807730746461858250673769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229977052595525534025240665724910291584015279783076056558738405987392494940401914520349943118267305466193992995180985527711770841393048292356125601323543594573301517616245528164253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24297391450956270441096953239270549288041424555506415911808888013801176617524641851679097650957747263799227598065442264586313659809565976784183031615825657020251187736714111933479309001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36979766783844789690905020114395921390166153162146903783696662969346313992020335346395848477541989899238729861320772960218162085174138192531930558137174781915053769814911627558861550541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51030522812819572613981070154194576640343241607939634510258026854715605169092807075959072745731675014130566988304086749224309999191666368281806111275702943046357195770055569604759074939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12170813818644617651184397055165767590957440340172961304748308750812828342966070063628573727165788736101409541034684987918050346772269083381069371126363741266767806297164423836926368133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48061565592078410172992657633138731377033979938181116017394016111586232865142019784031305157360684281110342714515931534303101436847180486553068066668452438122025831044833657470430826453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24297391450956270441096953239270549288041424555506415911808888013801176617524641851679097650957747263799227598065442264586313659809565976784183031615825657020251187736714111933479309001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36979766783844789690905020114395921390166153162146903783696662969346313992020335346395848477541989899238729861320772960218162085174138192531930558137174781915053769814911627558861550541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51030522812819572613981070154194576640343241607939634510258026854715605169092807075959072745731675014130566988304086749224309999191666368281806111275702943046357195770055569604759074939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12170813818644617651184397055165767590957440340172961304748308750812828342966070063628573727165788736101409541034684987918050346772269083381069371126363741266767806297164423836926368133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48061565592078410172992657633138731377033979938181116017394016111586232865142019784031305157360684281110342714515931534303101436847180486553068066668452438122025831044833657470430826453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24297391450956270441096953239270549288041424555506415911808888013801176617524641851679097650957747263799227598065442264586313659809565976784183031615825657020251187736714111933479309001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36979766783844789690905020114395921390166153162146903783696662969346313992020335346395848477541989899238729861320772960218162085174138192531930558137174781915053769814911627558861550541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51030522812819572613981070154194576640343241607939634510258026854715605169092807075959072745731675014130566988304086749224309999191666368281806111275702943046357195770055569604759074939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12170813818644617651184397055165767590957440340172961304748308750812828342966070063628573727165788736101409541034684987918050346772269083381069371126363741266767806297164423836926368133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48061565592078410172992657633138731377033979938181116017394016111586232865142019784031305157360684281110342714515931534303101436847180486553068066668452438122025831044833657470430826453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24297391450956270441096953239270549288041424555506415911808888013801176617524641851679097650957747263799227598065442264586313659809565976784183031615825657020251187736714111933479309001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36979766783844789690905020114395921390166153162146903783696662969346313992020335346395848477541989899238729861320772960218162085174138192531930558137174781915053769814911627558861550541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51030522812819572613981070154194576640343241607939634510258026854715605169092807075959072745731675014130566988304086749224309999191666368281806111275702943046357195770055569604759074939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12170813818644617651184397055165767590957440340172961304748308750812828342966070063628573727165788736101409541034684987918050346772269083381069371126363741266767806297164423836926368133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48061565592078410172992657633138731377033979938181116017394016111586232865142019784031305157360684281110342714515931534303101436847180486553068066668452438122025831044833657470430826453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5048245847577637642695278787577063470062357938181870964234130315644128925719406552995693732414248901400833021242442871473980112461372125129097899628313320976900171797219357988698619755121197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5952315938491994675688319714821275921574305980469391530736846706598637399231262435671104926665442484883217597364018919822275211514911237797867471497980723072745751632365585648405924527877071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2153052683257403156194849411500459804963340095450082468555334026449782354936370424930586215681940078127379434173996471318715689126443491839438971040362925900416666134246610984162848601161433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3819860692943847878118110253885532055942845050442435522040226342633474623014310008772221243138837805703215103299682381285819274238656039932967084679450295218924607740474612143906838522455121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5405777835831194124884427599665772026352593837908982124517005981331957827270281216670473536478064199781466860339370791826744433278403969631104924277909273435411863276479896845985627150025383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5048245847577637642695278787577063470062357938181870964234130315644128925719406552995693732414248901400833021242442871473980112461372125129097899628313320976900171797219357988698619755121197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5952315938491994675688319714821275921574305980469391530736846706598637399231262435671104926665442484883217597364018919822275211514911237797867471497980723072745751632365585648405924527877071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2153052683257403156194849411500459804963340095450082468555334026449782354936370424930586215681940078127379434173996471318715689126443491839438971040362925900416666134246610984162848601161433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3819860692943847878118110253885532055942845050442435522040226342633474623014310008772221243138837805703215103299682381285819274238656039932967084679450295218924607740474612143906838522455121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5405777835831194124884427599665772026352593837908982124517005981331957827270281216670473536478064199781466860339370791826744433278403969631104924277909273435411863276479896845985627150025383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5048245847577637642695278787577063470062357938181870964234130315644128925719406552995693732414248901400833021242442871473980112461372125129097899628313320976900171797219357988698619755121197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5952315938491994675688319714821275921574305980469391530736846706598637399231262435671104926665442484883217597364018919822275211514911237797867471497980723072745751632365585648405924527877071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2153052683257403156194849411500459804963340095450082468555334026449782354936370424930586215681940078127379434173996471318715689126443491839438971040362925900416666134246610984162848601161433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3819860692943847878118110253885532055942845050442435522040226342633474623014310008772221243138837805703215103299682381285819274238656039932967084679450295218924607740474612143906838522455121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5405777835831194124884427599665772026352593837908982124517005981331957827270281216670473536478064199781466860339370791826744433278403969631104924277909273435411863276479896845985627150025383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5048245847577637642695278787577063470062357938181870964234130315644128925719406552995693732414248901400833021242442871473980112461372125129097899628313320976900171797219357988698619755121197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5952315938491994675688319714821275921574305980469391530736846706598637399231262435671104926665442484883217597364018919822275211514911237797867471497980723072745751632365585648405924527877071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2153052683257403156194849411500459804963340095450082468555334026449782354936370424930586215681940078127379434173996471318715689126443491839438971040362925900416666134246610984162848601161433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3819860692943847878118110253885532055942845050442435522040226342633474623014310008772221243138837805703215103299682381285819274238656039932967084679450295218924607740474612143906838522455121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5405777835831194124884427599665772026352593837908982124517005981331957827270281216670473536478064199781466860339370791826744433278403969631104924277909273435411863276479896845985627150025383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204320666286262815746699674674498550361108904363273981395046046350309516927838669931183498480297728725343252487495447187560105934497675601655399079573765087423802479098256129037117440250779935487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517739015332168626567928722305481039782377016342290928073567469155962492949299579337850303947931060777447951203321026340433244559046651101092712419765346873107794210983146546537027022968956881643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121552477805506413393765835487317478531461315394377266774673137107784065665075357970914502787531383772014008121065100030970669421682990608998629901868078169766154607162295667348294957492917407929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275619006608620446437693838430249812422957973906619539733818752502991985066310699781076592794543195664394056862213159009344923168523846949884546710250910969886574980031756719368151194424409510287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189382403925999704814109531353092290892510127535662980253428199166571772565242612656432844614115261184377241274039061396783521983820975306677613615528154913706988669513148898122268080825479433999</t>
        </r>
      </text>
    </comment>
    <comment ref="J26" authorId="0" shapeId="0">
      <text>
        <r>
          <rPr>
            <sz val="9"/>
            <color indexed="81"/>
            <rFont val="Tahoma"/>
            <family val="2"/>
          </rPr>
          <t>204320666286262815746699674674498550361108904363273981395046046350309516927838669931183498480297728725343252487495447187560105934497675601655399079573765087423802479098256129037117440250779935487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517739015332168626567928722305481039782377016342290928073567469155962492949299579337850303947931060777447951203321026340433244559046651101092712419765346873107794210983146546537027022968956881643</t>
        </r>
      </text>
    </comment>
    <comment ref="L26" authorId="0" shapeId="0">
      <text>
        <r>
          <rPr>
            <sz val="9"/>
            <color indexed="81"/>
            <rFont val="Tahoma"/>
            <family val="2"/>
          </rPr>
          <t>121552477805506413393765835487317478531461315394377266774673137107784065665075357970914502787531383772014008121065100030970669421682990608998629901868078169766154607162295667348294957492917407929</t>
        </r>
      </text>
    </comment>
    <comment ref="M26" authorId="0" shapeId="0">
      <text>
        <r>
          <rPr>
            <sz val="9"/>
            <color indexed="81"/>
            <rFont val="Tahoma"/>
            <family val="2"/>
          </rPr>
          <t>275619006608620446437693838430249812422957973906619539733818752502991985066310699781076592794543195664394056862213159009344923168523846949884546710250910969886574980031756719368151194424409510287</t>
        </r>
      </text>
    </comment>
    <comment ref="N26" authorId="0" shapeId="0">
      <text>
        <r>
          <rPr>
            <sz val="9"/>
            <color indexed="81"/>
            <rFont val="Tahoma"/>
            <family val="2"/>
          </rPr>
          <t>189382403925999704814109531353092290892510127535662980253428199166571772565242612656432844614115261184377241274039061396783521983820975306677613615528154913706988669513148898122268080825479433999</t>
        </r>
      </text>
    </comment>
    <comment ref="J39" authorId="0" shapeId="0">
      <text>
        <r>
          <rPr>
            <sz val="9"/>
            <color indexed="81"/>
            <rFont val="Tahoma"/>
            <family val="2"/>
          </rPr>
          <t>204320666286262815746699674674498550361108904363273981395046046350309516927838669931183498480297728725343252487495447187560105934497675601655399079573765087423802479098256129037117440250779935487</t>
        </r>
      </text>
    </comment>
    <comment ref="K39" authorId="0" shapeId="0">
      <text>
        <r>
          <rPr>
            <sz val="9"/>
            <color indexed="81"/>
            <rFont val="Tahoma"/>
            <family val="2"/>
          </rPr>
          <t>517739015332168626567928722305481039782377016342290928073567469155962492949299579337850303947931060777447951203321026340433244559046651101092712419765346873107794210983146546537027022968956881643</t>
        </r>
      </text>
    </comment>
    <comment ref="L39" authorId="0" shapeId="0">
      <text>
        <r>
          <rPr>
            <sz val="9"/>
            <color indexed="81"/>
            <rFont val="Tahoma"/>
            <family val="2"/>
          </rPr>
          <t>121552477805506413393765835487317478531461315394377266774673137107784065665075357970914502787531383772014008121065100030970669421682990608998629901868078169766154607162295667348294957492917407929</t>
        </r>
      </text>
    </comment>
    <comment ref="M39" authorId="0" shapeId="0">
      <text>
        <r>
          <rPr>
            <sz val="9"/>
            <color indexed="81"/>
            <rFont val="Tahoma"/>
            <family val="2"/>
          </rPr>
          <t>275619006608620446437693838430249812422957973906619539733818752502991985066310699781076592794543195664394056862213159009344923168523846949884546710250910969886574980031756719368151194424409510287</t>
        </r>
      </text>
    </comment>
    <comment ref="N39" authorId="0" shapeId="0">
      <text>
        <r>
          <rPr>
            <sz val="9"/>
            <color indexed="81"/>
            <rFont val="Tahoma"/>
            <family val="2"/>
          </rPr>
          <t>189382403925999704814109531353092290892510127535662980253428199166571772565242612656432844614115261184377241274039061396783521983820975306677613615528154913706988669513148898122268080825479433999</t>
        </r>
      </text>
    </comment>
    <comment ref="J48" authorId="0" shapeId="0">
      <text>
        <r>
          <rPr>
            <sz val="9"/>
            <color indexed="81"/>
            <rFont val="Tahoma"/>
            <family val="2"/>
          </rPr>
          <t>204320666286262815746699674674498550361108904363273981395046046350309516927838669931183498480297728725343252487495447187560105934497675601655399079573765087423802479098256129037117440250779935487</t>
        </r>
      </text>
    </comment>
    <comment ref="K48" authorId="0" shapeId="0">
      <text>
        <r>
          <rPr>
            <sz val="9"/>
            <color indexed="81"/>
            <rFont val="Tahoma"/>
            <family val="2"/>
          </rPr>
          <t>517739015332168626567928722305481039782377016342290928073567469155962492949299579337850303947931060777447951203321026340433244559046651101092712419765346873107794210983146546537027022968956881643</t>
        </r>
      </text>
    </comment>
    <comment ref="L48" authorId="0" shapeId="0">
      <text>
        <r>
          <rPr>
            <sz val="9"/>
            <color indexed="81"/>
            <rFont val="Tahoma"/>
            <family val="2"/>
          </rPr>
          <t>121552477805506413393765835487317478531461315394377266774673137107784065665075357970914502787531383772014008121065100030970669421682990608998629901868078169766154607162295667348294957492917407929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>275619006608620446437693838430249812422957973906619539733818752502991985066310699781076592794543195664394056862213159009344923168523846949884546710250910969886574980031756719368151194424409510287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>189382403925999704814109531353092290892510127535662980253428199166571772565242612656432844614115261184377241274039061396783521983820975306677613615528154913706988669513148898122268080825479433999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27449784562795684042051605369782496201559014250444931147511252718846557653632731073172209295837928637656392578355496765490654278108624836942060944342508227290114225782443006397791877839849574340324541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19426316406756011877685683182389790780729485021093725747652865207547318029515527444637941203423202927586489364611715931425082587796322800166211599677306585783644858166096293754223274414069996586925201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14726743360516649879066868219801219243578537969051156283377297363492501201827762147979586951192987251362915936194074353499897396689384863898846857872737510731410093124989788622041695569578890644257853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36249449114359200127021341478970818455227509337258778222942896147684792304422226550778818660505585191581072242927117887546276825829925340358975246836442218504795428932045235312239618273018624661740647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66090976151263568536382568129672120686789943336154678099031564581627178589942934059692467452030905766427246565036614382292510060221700894712695995861579079621040758192531861892582279751744465860588829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27449784562795684042051605369782496201559014250444931147511252718846557653632731073172209295837928637656392578355496765490654278108624836942060944342508227290114225782443006397791877839849574340324541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19426316406756011877685683182389790780729485021093725747652865207547318029515527444637941203423202927586489364611715931425082587796322800166211599677306585783644858166096293754223274414069996586925201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14726743360516649879066868219801219243578537969051156283377297363492501201827762147979586951192987251362915936194074353499897396689384863898846857872737510731410093124989788622041695569578890644257853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36249449114359200127021341478970818455227509337258778222942896147684792304422226550778818660505585191581072242927117887546276825829925340358975246836442218504795428932045235312239618273018624661740647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66090976151263568536382568129672120686789943336154678099031564581627178589942934059692467452030905766427246565036614382292510060221700894712695995861579079621040758192531861892582279751744465860588829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27449784562795684042051605369782496201559014250444931147511252718846557653632731073172209295837928637656392578355496765490654278108624836942060944342508227290114225782443006397791877839849574340324541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19426316406756011877685683182389790780729485021093725747652865207547318029515527444637941203423202927586489364611715931425082587796322800166211599677306585783644858166096293754223274414069996586925201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14726743360516649879066868219801219243578537969051156283377297363492501201827762147979586951192987251362915936194074353499897396689384863898846857872737510731410093124989788622041695569578890644257853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36249449114359200127021341478970818455227509337258778222942896147684792304422226550778818660505585191581072242927117887546276825829925340358975246836442218504795428932045235312239618273018624661740647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66090976151263568536382568129672120686789943336154678099031564581627178589942934059692467452030905766427246565036614382292510060221700894712695995861579079621040758192531861892582279751744465860588829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27449784562795684042051605369782496201559014250444931147511252718846557653632731073172209295837928637656392578355496765490654278108624836942060944342508227290114225782443006397791877839849574340324541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19426316406756011877685683182389790780729485021093725747652865207547318029515527444637941203423202927586489364611715931425082587796322800166211599677306585783644858166096293754223274414069996586925201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14726743360516649879066868219801219243578537969051156283377297363492501201827762147979586951192987251362915936194074353499897396689384863898846857872737510731410093124989788622041695569578890644257853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36249449114359200127021341478970818455227509337258778222942896147684792304422226550778818660505585191581072242927117887546276825829925340358975246836442218504795428932045235312239618273018624661740647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66090976151263568536382568129672120686789943336154678099031564581627178589942934059692467452030905766427246565036614382292510060221700894712695995861579079621040758192531861892582279751744465860588829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4771647051591658528105147614207842538342913560265993603206266470600291427206115370527983726308117737202062154128577634648007690477592135132070140498255929079471613336914440267496767674750166122810917780823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1880583162096227216211566543239884080678594433415288088156972303665464934292190880622743313198343317628463677290036442972237218774937150496385544999627031192898983308956495578560774521820470632393159779943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4461772787391388364058205938889705780652936125881122928630444687420329638490039047420436926879302376892066287086803527812023712202951267117115787355750511963773142776640448440610164216310849812970296259767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2641780983801604383377082100999288032282623287504928660042722155181611492879560488604320845755520942201247624978457223308196537566025409678313907894148436902436039093128168002827444201882791748820767410247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2588322914763249143566830935358465112639761290924815216525942012892441072626405946398198960593793462729648231089438550054426160015773995440091342204988024686559062156166065864675337815873994149393449857273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4771647051591658528105147614207842538342913560265993603206266470600291427206115370527983726308117737202062154128577634648007690477592135132070140498255929079471613336914440267496767674750166122810917780823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1880583162096227216211566543239884080678594433415288088156972303665464934292190880622743313198343317628463677290036442972237218774937150496385544999627031192898983308956495578560774521820470632393159779943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4461772787391388364058205938889705780652936125881122928630444687420329638490039047420436926879302376892066287086803527812023712202951267117115787355750511963773142776640448440610164216310849812970296259767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2641780983801604383377082100999288032282623287504928660042722155181611492879560488604320845755520942201247624978457223308196537566025409678313907894148436902436039093128168002827444201882791748820767410247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2588322914763249143566830935358465112639761290924815216525942012892441072626405946398198960593793462729648231089438550054426160015773995440091342204988024686559062156166065864675337815873994149393449857273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4771647051591658528105147614207842538342913560265993603206266470600291427206115370527983726308117737202062154128577634648007690477592135132070140498255929079471613336914440267496767674750166122810917780823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1880583162096227216211566543239884080678594433415288088156972303665464934292190880622743313198343317628463677290036442972237218774937150496385544999627031192898983308956495578560774521820470632393159779943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4461772787391388364058205938889705780652936125881122928630444687420329638490039047420436926879302376892066287086803527812023712202951267117115787355750511963773142776640448440610164216310849812970296259767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2641780983801604383377082100999288032282623287504928660042722155181611492879560488604320845755520942201247624978457223308196537566025409678313907894148436902436039093128168002827444201882791748820767410247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2588322914763249143566830935358465112639761290924815216525942012892441072626405946398198960593793462729648231089438550054426160015773995440091342204988024686559062156166065864675337815873994149393449857273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4771647051591658528105147614207842538342913560265993603206266470600291427206115370527983726308117737202062154128577634648007690477592135132070140498255929079471613336914440267496767674750166122810917780823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1880583162096227216211566543239884080678594433415288088156972303665464934292190880622743313198343317628463677290036442972237218774937150496385544999627031192898983308956495578560774521820470632393159779943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4461772787391388364058205938889705780652936125881122928630444687420329638490039047420436926879302376892066287086803527812023712202951267117115787355750511963773142776640448440610164216310849812970296259767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2641780983801604383377082100999288032282623287504928660042722155181611492879560488604320845755520942201247624978457223308196537566025409678313907894148436902436039093128168002827444201882791748820767410247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2588322914763249143566830935358465112639761290924815216525942012892441072626405946398198960593793462729648231089438550054426160015773995440091342204988024686559062156166065864675337815873994149393449857273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257180506442725347476711792349032174159831421093713969518730698314035039140898594912649927725926986716725308743346421657316399344264476925486434105843685014121928326791607324050833554058659061816149087422775061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213657502757678146107167298435100457077109864986589051841396963391418795828431681975158786809124747734091410706683054307298972380098513261414626059602924767333846645882696294170281082783191923269177470813285837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130965206435196118574511099762179351808552482306275864668210364447558411620128304955919387610148271229470554506989287023288603695345180789705659671132226294564217784556819719426487379615620912764817967636177273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156743080768521351257102470347106171577997292639944296355903220913025494640120162046390185878683037109540260037091597611967752986378087112487376890559830449502556995713070138141661438264669206045125099320022409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232175957456808540316689333103317885908664894234868694782716147769435140956433688126241181125761668287429788450466687971754920620378609438483394255025206866798967065102238380334919482855519265075011312097194267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257180506442725347476711792349032174159831421093713969518730698314035039140898594912649927725926986716725308743346421657316399344264476925486434105843685014121928326791607324050833554058659061816149087422775061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213657502757678146107167298435100457077109864986589051841396963391418795828431681975158786809124747734091410706683054307298972380098513261414626059602924767333846645882696294170281082783191923269177470813285837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130965206435196118574511099762179351808552482306275864668210364447558411620128304955919387610148271229470554506989287023288603695345180789705659671132226294564217784556819719426487379615620912764817967636177273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156743080768521351257102470347106171577997292639944296355903220913025494640120162046390185878683037109540260037091597611967752986378087112487376890559830449502556995713070138141661438264669206045125099320022409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232175957456808540316689333103317885908664894234868694782716147769435140956433688126241181125761668287429788450466687971754920620378609438483394255025206866798967065102238380334919482855519265075011312097194267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257180506442725347476711792349032174159831421093713969518730698314035039140898594912649927725926986716725308743346421657316399344264476925486434105843685014121928326791607324050833554058659061816149087422775061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213657502757678146107167298435100457077109864986589051841396963391418795828431681975158786809124747734091410706683054307298972380098513261414626059602924767333846645882696294170281082783191923269177470813285837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130965206435196118574511099762179351808552482306275864668210364447558411620128304955919387610148271229470554506989287023288603695345180789705659671132226294564217784556819719426487379615620912764817967636177273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156743080768521351257102470347106171577997292639944296355903220913025494640120162046390185878683037109540260037091597611967752986378087112487376890559830449502556995713070138141661438264669206045125099320022409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232175957456808540316689333103317885908664894234868694782716147769435140956433688126241181125761668287429788450466687971754920620378609438483394255025206866798967065102238380334919482855519265075011312097194267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257180506442725347476711792349032174159831421093713969518730698314035039140898594912649927725926986716725308743346421657316399344264476925486434105843685014121928326791607324050833554058659061816149087422775061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213657502757678146107167298435100457077109864986589051841396963391418795828431681975158786809124747734091410706683054307298972380098513261414626059602924767333846645882696294170281082783191923269177470813285837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130965206435196118574511099762179351808552482306275864668210364447558411620128304955919387610148271229470554506989287023288603695345180789705659671132226294564217784556819719426487379615620912764817967636177273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156743080768521351257102470347106171577997292639944296355903220913025494640120162046390185878683037109540260037091597611967752986378087112487376890559830449502556995713070138141661438264669206045125099320022409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232175957456808540316689333103317885908664894234868694782716147769435140956433688126241181125761668287429788450466687971754920620378609438483394255025206866798967065102238380334919482855519265075011312097194267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3172653601555195682846298054958377230728082168351439113559303017837638064980804930861640153595496107942468083191659977589870184157444972163450899585051487363702762261132408894410831022067633043802193957195898991376641019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3825400883183860849394991270687309522033370157953288277160343434486839636989984178507959887100099381712339306811568923015951593676614471654056966603178963705448938957257428068456942467463700799275682074997728789836087261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3100984389457649625720552055688104774019883845105492946964630516869988053439564939698868592474594367848674863071736296979829018456589976589292855641817234946793289309479901510480539444275302117149023449116941184400626781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1608238741250434914715801062298570989974631213581125812380933804538246413758513630173079601206701389342631511397265297544624596661915158536675925691815232824518492318667703307478965989294336994335373868387518984175743417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5089979355492333035942093938497933431932111674775140509959268503750826367993188549384038259973395360665185614599919380246494206105401589665947593170171858574038459681145833431333479003380983198333683791974180953283026093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3172653601555195682846298054958377230728082168351439113559303017837638064980804930861640153595496107942468083191659977589870184157444972163450899585051487363702762261132408894410831022067633043802193957195898991376641019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3825400883183860849394991270687309522033370157953288277160343434486839636989984178507959887100099381712339306811568923015951593676614471654056966603178963705448938957257428068456942467463700799275682074997728789836087261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3100984389457649625720552055688104774019883845105492946964630516869988053439564939698868592474594367848674863071736296979829018456589976589292855641817234946793289309479901510480539444275302117149023449116941184400626781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1608238741250434914715801062298570989974631213581125812380933804538246413758513630173079601206701389342631511397265297544624596661915158536675925691815232824518492318667703307478965989294336994335373868387518984175743417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5089979355492333035942093938497933431932111674775140509959268503750826367993188549384038259973395360665185614599919380246494206105401589665947593170171858574038459681145833431333479003380983198333683791974180953283026093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3172653601555195682846298054958377230728082168351439113559303017837638064980804930861640153595496107942468083191659977589870184157444972163450899585051487363702762261132408894410831022067633043802193957195898991376641019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3825400883183860849394991270687309522033370157953288277160343434486839636989984178507959887100099381712339306811568923015951593676614471654056966603178963705448938957257428068456942467463700799275682074997728789836087261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3100984389457649625720552055688104774019883845105492946964630516869988053439564939698868592474594367848674863071736296979829018456589976589292855641817234946793289309479901510480539444275302117149023449116941184400626781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1608238741250434914715801062298570989974631213581125812380933804538246413758513630173079601206701389342631511397265297544624596661915158536675925691815232824518492318667703307478965989294336994335373868387518984175743417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5089979355492333035942093938497933431932111674775140509959268503750826367993188549384038259973395360665185614599919380246494206105401589665947593170171858574038459681145833431333479003380983198333683791974180953283026093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3172653601555195682846298054958377230728082168351439113559303017837638064980804930861640153595496107942468083191659977589870184157444972163450899585051487363702762261132408894410831022067633043802193957195898991376641019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3825400883183860849394991270687309522033370157953288277160343434486839636989984178507959887100099381712339306811568923015951593676614471654056966603178963705448938957257428068456942467463700799275682074997728789836087261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3100984389457649625720552055688104774019883845105492946964630516869988053439564939698868592474594367848674863071736296979829018456589976589292855641817234946793289309479901510480539444275302117149023449116941184400626781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1608238741250434914715801062298570989974631213581125812380933804538246413758513630173079601206701389342631511397265297544624596661915158536675925691815232824518492318667703307478965989294336994335373868387518984175743417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5089979355492333035942093938497933431932111674775140509959268503750826367993188549384038259973395360665185614599919380246494206105401589665947593170171858574038459681145833431333479003380983198333683791974180953283026093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22261304897059316445558750540160279311860621698881701732361053784010523949644806940507193683193302898243517789818535945579071721624564408979591034290366106658363533482217214985958948295220962881802408720150672656232396913512399859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30159333122601397446865587507450806004747461928868545993000950793479163568743950574242201251911706249656485260984251112410174875577211076570763792459266927955012870291698274607158821427124855936137894939645950665105599380417943809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16608721119248440771030916933134510299484041028156900926091716764247443581574786237679066965048336013994199898886804508617273527123968920593006628190021959780247338119254017848769074680807476642028735501112611874228727127627608951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19994213996545229239440017119897380669651102090177800369068166370712948073231891888819668763481297326235866905745839527556844280186224721994778752670104790381852796775035388205290835904282586944406136243620541220162733391509802267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36775251277845760817208471556772871359959947113598747180241209001922367720343111331515302653594169565800224813487414272361832177723240733784716611674154612124591235622598031996160107536585020588021590278641790226560722356029735041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22261304897059316445558750540160279311860621698881701732361053784010523949644806940507193683193302898243517789818535945579071721624564408979591034290366106658363533482217214985958948295220962881802408720150672656232396913512399859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30159333122601397446865587507450806004747461928868545993000950793479163568743950574242201251911706249656485260984251112410174875577211076570763792459266927955012870291698274607158821427124855936137894939645950665105599380417943809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16608721119248440771030916933134510299484041028156900926091716764247443581574786237679066965048336013994199898886804508617273527123968920593006628190021959780247338119254017848769074680807476642028735501112611874228727127627608951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19994213996545229239440017119897380669651102090177800369068166370712948073231891888819668763481297326235866905745839527556844280186224721994778752670104790381852796775035388205290835904282586944406136243620541220162733391509802267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36775251277845760817208471556772871359959947113598747180241209001922367720343111331515302653594169565800224813487414272361832177723240733784716611674154612124591235622598031996160107536585020588021590278641790226560722356029735041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22261304897059316445558750540160279311860621698881701732361053784010523949644806940507193683193302898243517789818535945579071721624564408979591034290366106658363533482217214985958948295220962881802408720150672656232396913512399859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30159333122601397446865587507450806004747461928868545993000950793479163568743950574242201251911706249656485260984251112410174875577211076570763792459266927955012870291698274607158821427124855936137894939645950665105599380417943809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16608721119248440771030916933134510299484041028156900926091716764247443581574786237679066965048336013994199898886804508617273527123968920593006628190021959780247338119254017848769074680807476642028735501112611874228727127627608951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19994213996545229239440017119897380669651102090177800369068166370712948073231891888819668763481297326235866905745839527556844280186224721994778752670104790381852796775035388205290835904282586944406136243620541220162733391509802267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36775251277845760817208471556772871359959947113598747180241209001922367720343111331515302653594169565800224813487414272361832177723240733784716611674154612124591235622598031996160107536585020588021590278641790226560722356029735041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22261304897059316445558750540160279311860621698881701732361053784010523949644806940507193683193302898243517789818535945579071721624564408979591034290366106658363533482217214985958948295220962881802408720150672656232396913512399859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30159333122601397446865587507450806004747461928868545993000950793479163568743950574242201251911706249656485260984251112410174875577211076570763792459266927955012870291698274607158821427124855936137894939645950665105599380417943809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16608721119248440771030916933134510299484041028156900926091716764247443581574786237679066965048336013994199898886804508617273527123968920593006628190021959780247338119254017848769074680807476642028735501112611874228727127627608951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19994213996545229239440017119897380669651102090177800369068166370712948073231891888819668763481297326235866905745839527556844280186224721994778752670104790381852796775035388205290835904282586944406136243620541220162733391509802267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36775251277845760817208471556772871359959947113598747180241209001922367720343111331515302653594169565800224813487414272361832177723240733784716611674154612124591235622598031996160107536585020588021590278641790226560722356029735041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322688262299785382622180987982610336088610292134573409044706237070467858421530329838360655240047980926241589054667195677161135397867066288747597990908078732530835990919717232565543517152196976606231596440023573987684500669782953703662001068571234787298126745901385214087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563115246591033542997697170506237807749634933744416875154168729980304389753634956406718406253837928883386328272379214555230568066955483638287816208869709532805319131582189995557594860642211659578340999434217816761231355885523576672788986407048253857172098368827760437561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289633640869050319174874009476871614422120651059375512264108001044140763756015885814559214157978818733457381325650172254593150418382982460591758405502095946697706846392694218372262553982041724156189579365396579936763246532616717226762740127901692380629503048929372131099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202825331158934137011598693697954574294382825004764307458299902866774750354813816352076148158910262153113837889209844257569734912594332203111051848802667630434793863838407170381832640159350883684317860644810025945948605420685932116346222084905478864605721920192542302009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657084504413589894238919188764229561320370141835545727168071796162970150594736528709768060229358960864125843663671618644493042041187309151412565166176117724638138645122230982970057503336853727006041971800460508364043250950850333794354723718616491590984949269721539710883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322688262299785382622180987982610336088610292134573409044706237070467858421530329838360655240047980926241589054667195677161135397867066288747597990908078732530835990919717232565543517152196976606231596440023573987684500669782953703662001068571234787298126745901385214087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563115246591033542997697170506237807749634933744416875154168729980304389753634956406718406253837928883386328272379214555230568066955483638287816208869709532805319131582189995557594860642211659578340999434217816761231355885523576672788986407048253857172098368827760437561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289633640869050319174874009476871614422120651059375512264108001044140763756015885814559214157978818733457381325650172254593150418382982460591758405502095946697706846392694218372262553982041724156189579365396579936763246532616717226762740127901692380629503048929372131099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202825331158934137011598693697954574294382825004764307458299902866774750354813816352076148158910262153113837889209844257569734912594332203111051848802667630434793863838407170381832640159350883684317860644810025945948605420685932116346222084905478864605721920192542302009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657084504413589894238919188764229561320370141835545727168071796162970150594736528709768060229358960864125843663671618644493042041187309151412565166176117724638138645122230982970057503336853727006041971800460508364043250950850333794354723718616491590984949269721539710883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322688262299785382622180987982610336088610292134573409044706237070467858421530329838360655240047980926241589054667195677161135397867066288747597990908078732530835990919717232565543517152196976606231596440023573987684500669782953703662001068571234787298126745901385214087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563115246591033542997697170506237807749634933744416875154168729980304389753634956406718406253837928883386328272379214555230568066955483638287816208869709532805319131582189995557594860642211659578340999434217816761231355885523576672788986407048253857172098368827760437561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289633640869050319174874009476871614422120651059375512264108001044140763756015885814559214157978818733457381325650172254593150418382982460591758405502095946697706846392694218372262553982041724156189579365396579936763246532616717226762740127901692380629503048929372131099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202825331158934137011598693697954574294382825004764307458299902866774750354813816352076148158910262153113837889209844257569734912594332203111051848802667630434793863838407170381832640159350883684317860644810025945948605420685932116346222084905478864605721920192542302009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657084504413589894238919188764229561320370141835545727168071796162970150594736528709768060229358960864125843663671618644493042041187309151412565166176117724638138645122230982970057503336853727006041971800460508364043250950850333794354723718616491590984949269721539710883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322688262299785382622180987982610336088610292134573409044706237070467858421530329838360655240047980926241589054667195677161135397867066288747597990908078732530835990919717232565543517152196976606231596440023573987684500669782953703662001068571234787298126745901385214087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563115246591033542997697170506237807749634933744416875154168729980304389753634956406718406253837928883386328272379214555230568066955483638287816208869709532805319131582189995557594860642211659578340999434217816761231355885523576672788986407048253857172098368827760437561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289633640869050319174874009476871614422120651059375512264108001044140763756015885814559214157978818733457381325650172254593150418382982460591758405502095946697706846392694218372262553982041724156189579365396579936763246532616717226762740127901692380629503048929372131099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202825331158934137011598693697954574294382825004764307458299902866774750354813816352076148158910262153113837889209844257569734912594332203111051848802667630434793863838407170381832640159350883684317860644810025945948605420685932116346222084905478864605721920192542302009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657084504413589894238919188764229561320370141835545727168071796162970150594736528709768060229358960864125843663671618644493042041187309151412565166176117724638138645122230982970057503336853727006041971800460508364043250950850333794354723718616491590984949269721539710883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7180425808550398913667877528050838787964976451293525486658874277398075942202278284380599175307757934351392355399965008798238073389573978893472964571946331182953538015972477905280655322250167858110939045451839390504589622261615596046743919560129759413013579645671764076387825775988202695170529235513078882554397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3919225409624502437184388490343552537874632873090206616963485027650044218948542890269769921973936037948189114861979554708826337943505791129449390119599187689948584120947662374641017727913646971280051202842714325368478987542666639184348484827446593100098875255059235249930284295886525139855850154401946721614519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122999556091576079603803989894695154201483949596686874191047690299465268336337168551016929773927661134586681805963684927925752408715056600821946310514974313820191683940799538417002001222283036414361573799281752112564148333173884594478174088054617621607225007457197487276056616282930699062708705092429728829859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4111447239821844354454232876942768697456281036222951991765662265600158074935809354500488224633070552674315940330159472259403861423554058884007562849396374219726126270627123406931636300775658442001757864776730513723499120160112097457780431598927447175634896351226095520113443601369505774157716540882931981351299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3143163397559693083651376322776993783559094914271859559929545292817234156050990398586600666640010945732495825072191401347895697730768706798283396089872704284645069069569477903475417783457690712783048238819413230877617841757828433702824510869429306059332199205638687626512460336335730910629741964613789909638391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7180425808550398913667877528050838787964976451293525486658874277398075942202278284380599175307757934351392355399965008798238073389573978893472964571946331182953538015972477905280655322250167858110939045451839390504589622261615596046743919560129759413013579645671764076387825775988202695170529235513078882554397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3919225409624502437184388490343552537874632873090206616963485027650044218948542890269769921973936037948189114861979554708826337943505791129449390119599187689948584120947662374641017727913646971280051202842714325368478987542666639184348484827446593100098875255059235249930284295886525139855850154401946721614519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122999556091576079603803989894695154201483949596686874191047690299465268336337168551016929773927661134586681805963684927925752408715056600821946310514974313820191683940799538417002001222283036414361573799281752112564148333173884594478174088054617621607225007457197487276056616282930699062708705092429728829859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4111447239821844354454232876942768697456281036222951991765662265600158074935809354500488224633070552674315940330159472259403861423554058884007562849396374219726126270627123406931636300775658442001757864776730513723499120160112097457780431598927447175634896351226095520113443601369505774157716540882931981351299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3143163397559693083651376322776993783559094914271859559929545292817234156050990398586600666640010945732495825072191401347895697730768706798283396089872704284645069069569477903475417783457690712783048238819413230877617841757828433702824510869429306059332199205638687626512460336335730910629741964613789909638391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7180425808550398913667877528050838787964976451293525486658874277398075942202278284380599175307757934351392355399965008798238073389573978893472964571946331182953538015972477905280655322250167858110939045451839390504589622261615596046743919560129759413013579645671764076387825775988202695170529235513078882554397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3919225409624502437184388490343552537874632873090206616963485027650044218948542890269769921973936037948189114861979554708826337943505791129449390119599187689948584120947662374641017727913646971280051202842714325368478987542666639184348484827446593100098875255059235249930284295886525139855850154401946721614519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122999556091576079603803989894695154201483949596686874191047690299465268336337168551016929773927661134586681805963684927925752408715056600821946310514974313820191683940799538417002001222283036414361573799281752112564148333173884594478174088054617621607225007457197487276056616282930699062708705092429728829859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4111447239821844354454232876942768697456281036222951991765662265600158074935809354500488224633070552674315940330159472259403861423554058884007562849396374219726126270627123406931636300775658442001757864776730513723499120160112097457780431598927447175634896351226095520113443601369505774157716540882931981351299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3143163397559693083651376322776993783559094914271859559929545292817234156050990398586600666640010945732495825072191401347895697730768706798283396089872704284645069069569477903475417783457690712783048238819413230877617841757828433702824510869429306059332199205638687626512460336335730910629741964613789909638391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7180425808550398913667877528050838787964976451293525486658874277398075942202278284380599175307757934351392355399965008798238073389573978893472964571946331182953538015972477905280655322250167858110939045451839390504589622261615596046743919560129759413013579645671764076387825775988202695170529235513078882554397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3919225409624502437184388490343552537874632873090206616963485027650044218948542890269769921973936037948189114861979554708826337943505791129449390119599187689948584120947662374641017727913646971280051202842714325368478987542666639184348484827446593100098875255059235249930284295886525139855850154401946721614519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122999556091576079603803989894695154201483949596686874191047690299465268336337168551016929773927661134586681805963684927925752408715056600821946310514974313820191683940799538417002001222283036414361573799281752112564148333173884594478174088054617621607225007457197487276056616282930699062708705092429728829859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4111447239821844354454232876942768697456281036222951991765662265600158074935809354500488224633070552674315940330159472259403861423554058884007562849396374219726126270627123406931636300775658442001757864776730513723499120160112097457780431598927447175634896351226095520113443601369505774157716540882931981351299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3143163397559693083651376322776993783559094914271859559929545292817234156050990398586600666640010945732495825072191401347895697730768706798283396089872704284645069069569477903475417783457690712783048238819413230877617841757828433702824510869429306059332199205638687626512460336335730910629741964613789909638391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J3" authorId="0" shapeId="0">
      <text>
        <r>
          <rPr>
            <sz val="9"/>
            <color indexed="81"/>
            <rFont val="Tahoma"/>
            <family val="2"/>
          </rPr>
          <t>24744156827986756956152979582148925636643291610903128498065488928808127856436358065239962966334132393624131518163833345346395465717927407764876418649504299281775988359193671577320463076475301447017671068359791115008495268729675066248554231561782529701919851464940711153844870370552816198960566952527265578311699774387761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55257760205504418837179256197327146296272548299308054384476903038083784733195425739735521847438177586371229768276934082229938820387346831046002325691109068117877179335939664402565326296269230768402633047423870323202120459101648505759109409824773992733265370999702805395528472377382810637539375958218101233629692871474133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45932633687834283934892361819256558574520341328627387425262075986936728387983771490602001323714613159700304401175714131113166913374307052104751748672330613327888305705773579519818774858077232378775892998045024162450013360599120172683619536987694990568037991617527686051501641614209007884072123020804589380871057145026237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10208421331823279163410266972791406595559903803724644522128206161760191432008900319354464164001780803094446511351961507532972533268471210333586803469403152368051532116048464838545875656979617406622858475815256062970885215551652940438911508849135751849900523854450258899472560014616818027779802720269315631438054196041983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31581994292009464881871790812430227371864296391800980316344983828136307682194205401871370611770494934658796346536605303188805490392039091801181153841712866454387100670402655538152533720856705406042913208737070259183399098417912948797015103998034442777196727540956655097595231080680981599839048798866488219532256511614903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24744156827986756956152979582148925636643291610903128498065488928808127856436358065239962966334132393624131518163833345346395465717927407764876418649504299281775988359193671577320463076475301447017671068359791115008495268729675066248554231561782529701919851464940711153844870370552816198960566952527265578311699774387761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55257760205504418837179256197327146296272548299308054384476903038083784733195425739735521847438177586371229768276934082229938820387346831046002325691109068117877179335939664402565326296269230768402633047423870323202120459101648505759109409824773992733265370999702805395528472377382810637539375958218101233629692871474133</t>
        </r>
      </text>
    </comment>
    <comment ref="L24" authorId="0" shapeId="0">
      <text>
        <r>
          <rPr>
            <sz val="9"/>
            <color indexed="81"/>
            <rFont val="Tahoma"/>
            <family val="2"/>
          </rPr>
          <t>45932633687834283934892361819256558574520341328627387425262075986936728387983771490602001323714613159700304401175714131113166913374307052104751748672330613327888305705773579519818774858077232378775892998045024162450013360599120172683619536987694990568037991617527686051501641614209007884072123020804589380871057145026237</t>
        </r>
      </text>
    </comment>
    <comment ref="M24" authorId="0" shapeId="0">
      <text>
        <r>
          <rPr>
            <sz val="9"/>
            <color indexed="81"/>
            <rFont val="Tahoma"/>
            <family val="2"/>
          </rPr>
          <t>10208421331823279163410266972791406595559903803724644522128206161760191432008900319354464164001780803094446511351961507532972533268471210333586803469403152368051532116048464838545875656979617406622858475815256062970885215551652940438911508849135751849900523854450258899472560014616818027779802720269315631438054196041983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31581994292009464881871790812430227371864296391800980316344983828136307682194205401871370611770494934658796346536605303188805490392039091801181153841712866454387100670402655538152533720856705406042913208737070259183399098417912948797015103998034442777196727540956655097595231080680981599839048798866488219532256511614903</t>
        </r>
      </text>
    </comment>
    <comment ref="J37" authorId="0" shapeId="0">
      <text>
        <r>
          <rPr>
            <sz val="9"/>
            <color indexed="81"/>
            <rFont val="Tahoma"/>
            <family val="2"/>
          </rPr>
          <t>24744156827986756956152979582148925636643291610903128498065488928808127856436358065239962966334132393624131518163833345346395465717927407764876418649504299281775988359193671577320463076475301447017671068359791115008495268729675066248554231561782529701919851464940711153844870370552816198960566952527265578311699774387761</t>
        </r>
      </text>
    </comment>
    <comment ref="K37" authorId="0" shapeId="0">
      <text>
        <r>
          <rPr>
            <sz val="9"/>
            <color indexed="81"/>
            <rFont val="Tahoma"/>
            <family val="2"/>
          </rPr>
          <t>55257760205504418837179256197327146296272548299308054384476903038083784733195425739735521847438177586371229768276934082229938820387346831046002325691109068117877179335939664402565326296269230768402633047423870323202120459101648505759109409824773992733265370999702805395528472377382810637539375958218101233629692871474133</t>
        </r>
      </text>
    </comment>
    <comment ref="L37" authorId="0" shapeId="0">
      <text>
        <r>
          <rPr>
            <sz val="9"/>
            <color indexed="81"/>
            <rFont val="Tahoma"/>
            <family val="2"/>
          </rPr>
          <t>45932633687834283934892361819256558574520341328627387425262075986936728387983771490602001323714613159700304401175714131113166913374307052104751748672330613327888305705773579519818774858077232378775892998045024162450013360599120172683619536987694990568037991617527686051501641614209007884072123020804589380871057145026237</t>
        </r>
      </text>
    </comment>
    <comment ref="M37" authorId="0" shapeId="0">
      <text>
        <r>
          <rPr>
            <sz val="9"/>
            <color indexed="81"/>
            <rFont val="Tahoma"/>
            <family val="2"/>
          </rPr>
          <t>10208421331823279163410266972791406595559903803724644522128206161760191432008900319354464164001780803094446511351961507532972533268471210333586803469403152368051532116048464838545875656979617406622858475815256062970885215551652940438911508849135751849900523854450258899472560014616818027779802720269315631438054196041983</t>
        </r>
      </text>
    </comment>
    <comment ref="N37" authorId="0" shapeId="0">
      <text>
        <r>
          <rPr>
            <sz val="9"/>
            <color indexed="81"/>
            <rFont val="Tahoma"/>
            <family val="2"/>
          </rPr>
          <t>31581994292009464881871790812430227371864296391800980316344983828136307682194205401871370611770494934658796346536605303188805490392039091801181153841712866454387100670402655538152533720856705406042913208737070259183399098417912948797015103998034442777196727540956655097595231080680981599839048798866488219532256511614903</t>
        </r>
      </text>
    </comment>
    <comment ref="J46" authorId="0" shapeId="0">
      <text>
        <r>
          <rPr>
            <sz val="9"/>
            <color indexed="81"/>
            <rFont val="Tahoma"/>
            <family val="2"/>
          </rPr>
          <t>24744156827986756956152979582148925636643291610903128498065488928808127856436358065239962966334132393624131518163833345346395465717927407764876418649504299281775988359193671577320463076475301447017671068359791115008495268729675066248554231561782529701919851464940711153844870370552816198960566952527265578311699774387761</t>
        </r>
      </text>
    </comment>
    <comment ref="K46" authorId="0" shapeId="0">
      <text>
        <r>
          <rPr>
            <sz val="9"/>
            <color indexed="81"/>
            <rFont val="Tahoma"/>
            <family val="2"/>
          </rPr>
          <t>55257760205504418837179256197327146296272548299308054384476903038083784733195425739735521847438177586371229768276934082229938820387346831046002325691109068117877179335939664402565326296269230768402633047423870323202120459101648505759109409824773992733265370999702805395528472377382810637539375958218101233629692871474133</t>
        </r>
      </text>
    </comment>
    <comment ref="L46" authorId="0" shapeId="0">
      <text>
        <r>
          <rPr>
            <sz val="9"/>
            <color indexed="81"/>
            <rFont val="Tahoma"/>
            <family val="2"/>
          </rPr>
          <t>45932633687834283934892361819256558574520341328627387425262075986936728387983771490602001323714613159700304401175714131113166913374307052104751748672330613327888305705773579519818774858077232378775892998045024162450013360599120172683619536987694990568037991617527686051501641614209007884072123020804589380871057145026237</t>
        </r>
      </text>
    </comment>
    <comment ref="M46" authorId="0" shapeId="0">
      <text>
        <r>
          <rPr>
            <sz val="9"/>
            <color indexed="81"/>
            <rFont val="Tahoma"/>
            <family val="2"/>
          </rPr>
          <t>10208421331823279163410266972791406595559903803724644522128206161760191432008900319354464164001780803094446511351961507532972533268471210333586803469403152368051532116048464838545875656979617406622858475815256062970885215551652940438911508849135751849900523854450258899472560014616818027779802720269315631438054196041983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>31581994292009464881871790812430227371864296391800980316344983828136307682194205401871370611770494934658796346536605303188805490392039091801181153841712866454387100670402655538152533720856705406042913208737070259183399098417912948797015103998034442777196727540956655097595231080680981599839048798866488219532256511614903</t>
        </r>
      </text>
    </comment>
  </commentList>
</comments>
</file>

<file path=xl/sharedStrings.xml><?xml version="1.0" encoding="utf-8"?>
<sst xmlns="http://schemas.openxmlformats.org/spreadsheetml/2006/main" count="6442" uniqueCount="1490">
  <si>
    <t>c30</t>
  </si>
  <si>
    <t>c60</t>
  </si>
  <si>
    <t>c65</t>
  </si>
  <si>
    <t>c70</t>
  </si>
  <si>
    <t>c75</t>
  </si>
  <si>
    <t>c80</t>
  </si>
  <si>
    <t>c85</t>
  </si>
  <si>
    <t>c90</t>
  </si>
  <si>
    <t>c95</t>
  </si>
  <si>
    <t>c100</t>
  </si>
  <si>
    <t>c105</t>
  </si>
  <si>
    <t>c110</t>
  </si>
  <si>
    <t>c115</t>
  </si>
  <si>
    <t>c120</t>
  </si>
  <si>
    <t>c125</t>
  </si>
  <si>
    <t>c130</t>
  </si>
  <si>
    <t>c135</t>
  </si>
  <si>
    <t>c140</t>
  </si>
  <si>
    <t>c145</t>
  </si>
  <si>
    <t>c150</t>
  </si>
  <si>
    <t>c155</t>
  </si>
  <si>
    <t>c160</t>
  </si>
  <si>
    <t>c165</t>
  </si>
  <si>
    <t>c170</t>
  </si>
  <si>
    <t>c175</t>
  </si>
  <si>
    <t>c180</t>
  </si>
  <si>
    <t>c185</t>
  </si>
  <si>
    <t>c190</t>
  </si>
  <si>
    <t>c195</t>
  </si>
  <si>
    <t>c200</t>
  </si>
  <si>
    <t>c205</t>
  </si>
  <si>
    <t>c210</t>
  </si>
  <si>
    <t>c220</t>
  </si>
  <si>
    <t>c230</t>
  </si>
  <si>
    <t>c270</t>
  </si>
  <si>
    <t>c310</t>
  </si>
  <si>
    <t>c320</t>
  </si>
  <si>
    <t>Contents</t>
  </si>
  <si>
    <t>Prev</t>
  </si>
  <si>
    <t>Next</t>
  </si>
  <si>
    <t>Polynomial selection</t>
  </si>
  <si>
    <t>Size optimization</t>
  </si>
  <si>
    <t>Root optimization</t>
  </si>
  <si>
    <t>Generate factor base</t>
  </si>
  <si>
    <t>Generate free relations</t>
  </si>
  <si>
    <t>Lattice Sieving</t>
  </si>
  <si>
    <t>Filtering</t>
  </si>
  <si>
    <t>Duplicate Removal, splitting pass:</t>
  </si>
  <si>
    <t>Duplicate Removal, removal pass:</t>
  </si>
  <si>
    <t>Singleton removal</t>
  </si>
  <si>
    <t>Merging - merge</t>
  </si>
  <si>
    <t>Merging - replay</t>
  </si>
  <si>
    <t>Linear Algrebra</t>
  </si>
  <si>
    <t>Total</t>
  </si>
  <si>
    <t>Quadratic</t>
  </si>
  <si>
    <t>Square root</t>
  </si>
  <si>
    <t>Index of Integers</t>
  </si>
  <si>
    <t>Primes</t>
  </si>
  <si>
    <t>Composites</t>
  </si>
  <si>
    <t>Name</t>
  </si>
  <si>
    <t>Value</t>
  </si>
  <si>
    <t>p15_1</t>
  </si>
  <si>
    <t>p15_2</t>
  </si>
  <si>
    <t>Components</t>
  </si>
  <si>
    <t>Run</t>
  </si>
  <si>
    <t>c30_1</t>
  </si>
  <si>
    <t>p15_1 * p15_2</t>
  </si>
  <si>
    <t>p15_3</t>
  </si>
  <si>
    <t>p15_4</t>
  </si>
  <si>
    <t>p15_5</t>
  </si>
  <si>
    <t>p15_6</t>
  </si>
  <si>
    <t>p15_7</t>
  </si>
  <si>
    <t>p15_8</t>
  </si>
  <si>
    <t>p15_9</t>
  </si>
  <si>
    <t>p15_10</t>
  </si>
  <si>
    <t>c30_2</t>
  </si>
  <si>
    <t>c30_3</t>
  </si>
  <si>
    <t>c30_4</t>
  </si>
  <si>
    <t>c30_5</t>
  </si>
  <si>
    <t>p15_5 * p15_6</t>
  </si>
  <si>
    <t>p15_3 * p15_4</t>
  </si>
  <si>
    <t>p15_7 * p15_8</t>
  </si>
  <si>
    <t>p15_9 * p15_10</t>
  </si>
  <si>
    <t>p30_1</t>
  </si>
  <si>
    <t>p30_2</t>
  </si>
  <si>
    <t>p30_3</t>
  </si>
  <si>
    <t>p30_4</t>
  </si>
  <si>
    <t>p30_5</t>
  </si>
  <si>
    <t>p30_6</t>
  </si>
  <si>
    <t>p30_7</t>
  </si>
  <si>
    <t>p30_8</t>
  </si>
  <si>
    <t>p30_9</t>
  </si>
  <si>
    <t>p30_10</t>
  </si>
  <si>
    <t>c60_1</t>
  </si>
  <si>
    <t>c60_2</t>
  </si>
  <si>
    <t>c60_3</t>
  </si>
  <si>
    <t>c60_4</t>
  </si>
  <si>
    <t>c60_5</t>
  </si>
  <si>
    <t>p30_1 * p30_2</t>
  </si>
  <si>
    <t>p30_3 * p30_4</t>
  </si>
  <si>
    <t>p30_5 * p30_6</t>
  </si>
  <si>
    <t>p30_7 * p30_8</t>
  </si>
  <si>
    <t>p30_9 * p30_10</t>
  </si>
  <si>
    <t>p32_1</t>
  </si>
  <si>
    <t>p33_1</t>
  </si>
  <si>
    <t>p32_2</t>
  </si>
  <si>
    <t>p33_3</t>
  </si>
  <si>
    <t>p32_3</t>
  </si>
  <si>
    <t>p32_4</t>
  </si>
  <si>
    <t>p33_4</t>
  </si>
  <si>
    <t>p32_5</t>
  </si>
  <si>
    <t>p33_5</t>
  </si>
  <si>
    <t>c65_1</t>
  </si>
  <si>
    <t>c65_2</t>
  </si>
  <si>
    <t>c65_3</t>
  </si>
  <si>
    <t>c65_4</t>
  </si>
  <si>
    <t>c65_5</t>
  </si>
  <si>
    <t>p32_1 * p33_1</t>
  </si>
  <si>
    <t>p32_2 * p33_2</t>
  </si>
  <si>
    <t>p32_3 * p33_3</t>
  </si>
  <si>
    <t>p32_4 * p33_4</t>
  </si>
  <si>
    <t>p32_5 * p33_5</t>
  </si>
  <si>
    <t>p35_1</t>
  </si>
  <si>
    <t>p35_2</t>
  </si>
  <si>
    <t>p35_3</t>
  </si>
  <si>
    <t>p35_4</t>
  </si>
  <si>
    <t>p35_5</t>
  </si>
  <si>
    <t>p35_6</t>
  </si>
  <si>
    <t>p35_7</t>
  </si>
  <si>
    <t>p35_8</t>
  </si>
  <si>
    <t>p35_9</t>
  </si>
  <si>
    <t>p35_10</t>
  </si>
  <si>
    <t>c70_1</t>
  </si>
  <si>
    <t>c70_2</t>
  </si>
  <si>
    <t>c70_3</t>
  </si>
  <si>
    <t>c70_4</t>
  </si>
  <si>
    <t>c70_5</t>
  </si>
  <si>
    <t>p35_1 * p35_2</t>
  </si>
  <si>
    <t>p35_3 * p35_4</t>
  </si>
  <si>
    <t>p35_5 * p35_6</t>
  </si>
  <si>
    <t>p35_7 * p35_8</t>
  </si>
  <si>
    <t>p35_9 * p35_10</t>
  </si>
  <si>
    <t>p160_1</t>
  </si>
  <si>
    <t>p160_2</t>
  </si>
  <si>
    <t>p160_3</t>
  </si>
  <si>
    <t>p160_4</t>
  </si>
  <si>
    <t>p160_5</t>
  </si>
  <si>
    <t>p160_6</t>
  </si>
  <si>
    <t>p160_7</t>
  </si>
  <si>
    <t>p160_8</t>
  </si>
  <si>
    <t>p160_9</t>
  </si>
  <si>
    <t>p160_10</t>
  </si>
  <si>
    <t>c320_1</t>
  </si>
  <si>
    <t>c320_2</t>
  </si>
  <si>
    <t>c320_3</t>
  </si>
  <si>
    <t>c320_4</t>
  </si>
  <si>
    <t>c320_5</t>
  </si>
  <si>
    <t>p160_1 * p160_2</t>
  </si>
  <si>
    <t>p160_3 * p160_4</t>
  </si>
  <si>
    <t>p160_5 * p160_6</t>
  </si>
  <si>
    <t>p160_7 * p160_8</t>
  </si>
  <si>
    <t>p160_9 * p160_10</t>
  </si>
  <si>
    <t>c75_1</t>
  </si>
  <si>
    <t>c75_2</t>
  </si>
  <si>
    <t>c75_3</t>
  </si>
  <si>
    <t>c75_4</t>
  </si>
  <si>
    <t>c75_5</t>
  </si>
  <si>
    <t>p37_1</t>
  </si>
  <si>
    <t>p38_1</t>
  </si>
  <si>
    <t>p37_2</t>
  </si>
  <si>
    <t>p38_3</t>
  </si>
  <si>
    <t>p37_3</t>
  </si>
  <si>
    <t>p37_4</t>
  </si>
  <si>
    <t>p38_4</t>
  </si>
  <si>
    <t>p37_5</t>
  </si>
  <si>
    <t>p38_5</t>
  </si>
  <si>
    <t>p37_1 * p38_1</t>
  </si>
  <si>
    <t>p37_2 * p38_2</t>
  </si>
  <si>
    <t>p37_3 * p38_3</t>
  </si>
  <si>
    <t>p37_4 * p38_4</t>
  </si>
  <si>
    <t>p37_5 * p38_5</t>
  </si>
  <si>
    <t>p40_1</t>
  </si>
  <si>
    <t>p40_2</t>
  </si>
  <si>
    <t>p40_3</t>
  </si>
  <si>
    <t>p40_4</t>
  </si>
  <si>
    <t>p40_5</t>
  </si>
  <si>
    <t>p40_6</t>
  </si>
  <si>
    <t>p40_7</t>
  </si>
  <si>
    <t>p40_8</t>
  </si>
  <si>
    <t>p40_9</t>
  </si>
  <si>
    <t>p40_10</t>
  </si>
  <si>
    <t>c80_1</t>
  </si>
  <si>
    <t>c80_2</t>
  </si>
  <si>
    <t>c80_3</t>
  </si>
  <si>
    <t>c80_4</t>
  </si>
  <si>
    <t>c80_5</t>
  </si>
  <si>
    <t>p40_1 * p40_2</t>
  </si>
  <si>
    <t>p40_3 * p40_4</t>
  </si>
  <si>
    <t>p40_5 * p40_6</t>
  </si>
  <si>
    <t>p40_7 * p40_8</t>
  </si>
  <si>
    <t>p40_9 * p40_10</t>
  </si>
  <si>
    <t>c85_1</t>
  </si>
  <si>
    <t>c85_2</t>
  </si>
  <si>
    <t>c85_3</t>
  </si>
  <si>
    <t>c85_4</t>
  </si>
  <si>
    <t>c85_5</t>
  </si>
  <si>
    <t>p42_1</t>
  </si>
  <si>
    <t>p43_1</t>
  </si>
  <si>
    <t>p42_2</t>
  </si>
  <si>
    <t>p43_2</t>
  </si>
  <si>
    <t>p42_3</t>
  </si>
  <si>
    <t>p43_3</t>
  </si>
  <si>
    <t>p42_4</t>
  </si>
  <si>
    <t>p43_4</t>
  </si>
  <si>
    <t>p42_5</t>
  </si>
  <si>
    <t>p43_5</t>
  </si>
  <si>
    <t>p42_1 * p43_1</t>
  </si>
  <si>
    <t>p42_2 * p43_2</t>
  </si>
  <si>
    <t>p42_3 * p43_3</t>
  </si>
  <si>
    <t>p42_4 * p43_4</t>
  </si>
  <si>
    <t>p42_5 * p43_5</t>
  </si>
  <si>
    <t>c90_1</t>
  </si>
  <si>
    <t>c90_2</t>
  </si>
  <si>
    <t>c90_3</t>
  </si>
  <si>
    <t>c90_4</t>
  </si>
  <si>
    <t>c90_5</t>
  </si>
  <si>
    <t>p45_1</t>
  </si>
  <si>
    <t>p45_2</t>
  </si>
  <si>
    <t>p45_3</t>
  </si>
  <si>
    <t>p45_4</t>
  </si>
  <si>
    <t>p45_5</t>
  </si>
  <si>
    <t>c95_1</t>
  </si>
  <si>
    <t>c95_2</t>
  </si>
  <si>
    <t>c95_3</t>
  </si>
  <si>
    <t>c95_4</t>
  </si>
  <si>
    <t>c95_5</t>
  </si>
  <si>
    <t>p47_1</t>
  </si>
  <si>
    <t>p48_1</t>
  </si>
  <si>
    <t>p47_2</t>
  </si>
  <si>
    <t>p48_2</t>
  </si>
  <si>
    <t>p47_3</t>
  </si>
  <si>
    <t>p48_3</t>
  </si>
  <si>
    <t>p47_4</t>
  </si>
  <si>
    <t>p48_4</t>
  </si>
  <si>
    <t>p47_5</t>
  </si>
  <si>
    <t>p48_5</t>
  </si>
  <si>
    <t>p47_1 * p48_1</t>
  </si>
  <si>
    <t>p47_2 * p48_2</t>
  </si>
  <si>
    <t>p47_3 * p48_3</t>
  </si>
  <si>
    <t>p47_4 * p48_4</t>
  </si>
  <si>
    <t>p47_5 * p48_5</t>
  </si>
  <si>
    <t>c100_1</t>
  </si>
  <si>
    <t>c100_2</t>
  </si>
  <si>
    <t>c100_3</t>
  </si>
  <si>
    <t>c100_4</t>
  </si>
  <si>
    <t>c100_5</t>
  </si>
  <si>
    <t>p50_1</t>
  </si>
  <si>
    <t>p50_2</t>
  </si>
  <si>
    <t>p50_3</t>
  </si>
  <si>
    <t>p50_4</t>
  </si>
  <si>
    <t>p50_5</t>
  </si>
  <si>
    <t>c105_1</t>
  </si>
  <si>
    <t>c105_2</t>
  </si>
  <si>
    <t>c105_3</t>
  </si>
  <si>
    <t>c105_4</t>
  </si>
  <si>
    <t>c105_5</t>
  </si>
  <si>
    <t>p52_1</t>
  </si>
  <si>
    <t>p53_1</t>
  </si>
  <si>
    <t>p52_2</t>
  </si>
  <si>
    <t>p53_2</t>
  </si>
  <si>
    <t>p52_3</t>
  </si>
  <si>
    <t>p53_3</t>
  </si>
  <si>
    <t>p52_4</t>
  </si>
  <si>
    <t>p53_4</t>
  </si>
  <si>
    <t>p52_5</t>
  </si>
  <si>
    <t>p53_5</t>
  </si>
  <si>
    <t>p52_1 * p53_1</t>
  </si>
  <si>
    <t>p52_2 * p53_2</t>
  </si>
  <si>
    <t>p52_3 * p53_3</t>
  </si>
  <si>
    <t>p52_4 * p53_4</t>
  </si>
  <si>
    <t>p52_5 * p53_5</t>
  </si>
  <si>
    <t>c110_1</t>
  </si>
  <si>
    <t>c110_2</t>
  </si>
  <si>
    <t>c110_3</t>
  </si>
  <si>
    <t>c110_4</t>
  </si>
  <si>
    <t>c110_5</t>
  </si>
  <si>
    <t>p55_1</t>
  </si>
  <si>
    <t>p55_2</t>
  </si>
  <si>
    <t>p55_3</t>
  </si>
  <si>
    <t>p55_4</t>
  </si>
  <si>
    <t>p55_5</t>
  </si>
  <si>
    <t>c115_1</t>
  </si>
  <si>
    <t>c115_2</t>
  </si>
  <si>
    <t>c115_3</t>
  </si>
  <si>
    <t>c115_4</t>
  </si>
  <si>
    <t>c115_5</t>
  </si>
  <si>
    <t>p57_1</t>
  </si>
  <si>
    <t>p58_1</t>
  </si>
  <si>
    <t>p57_2</t>
  </si>
  <si>
    <t>p58_2</t>
  </si>
  <si>
    <t>p57_3</t>
  </si>
  <si>
    <t>p58_3</t>
  </si>
  <si>
    <t>p57_4</t>
  </si>
  <si>
    <t>p58_4</t>
  </si>
  <si>
    <t>p57_5</t>
  </si>
  <si>
    <t>p58_5</t>
  </si>
  <si>
    <t>p57_1 * p58_1</t>
  </si>
  <si>
    <t>p57_2 * p58_2</t>
  </si>
  <si>
    <t>p57_3 * p58_3</t>
  </si>
  <si>
    <t>p57_4 * p58_4</t>
  </si>
  <si>
    <t>p57_5 * p58_5</t>
  </si>
  <si>
    <t>c120_1</t>
  </si>
  <si>
    <t>c120_2</t>
  </si>
  <si>
    <t>c120_3</t>
  </si>
  <si>
    <t>c120_4</t>
  </si>
  <si>
    <t>c120_5</t>
  </si>
  <si>
    <t>p60_1</t>
  </si>
  <si>
    <t>p60_2</t>
  </si>
  <si>
    <t>p60_3</t>
  </si>
  <si>
    <t>p60_4</t>
  </si>
  <si>
    <t>p60_5</t>
  </si>
  <si>
    <t>c125_1</t>
  </si>
  <si>
    <t>c125_2</t>
  </si>
  <si>
    <t>c125_3</t>
  </si>
  <si>
    <t>c125_4</t>
  </si>
  <si>
    <t>c125_5</t>
  </si>
  <si>
    <t>p62_1</t>
  </si>
  <si>
    <t>p63_1</t>
  </si>
  <si>
    <t>p62_2</t>
  </si>
  <si>
    <t>p63_2</t>
  </si>
  <si>
    <t>p62_3</t>
  </si>
  <si>
    <t>p63_3</t>
  </si>
  <si>
    <t>p62_4</t>
  </si>
  <si>
    <t>p63_4</t>
  </si>
  <si>
    <t>p62_5</t>
  </si>
  <si>
    <t>p63_5</t>
  </si>
  <si>
    <t>p62_1 * p63_1</t>
  </si>
  <si>
    <t>p62_2 * p63_2</t>
  </si>
  <si>
    <t>p62_3 * p63_3</t>
  </si>
  <si>
    <t>p62_4 * p63_4</t>
  </si>
  <si>
    <t>p62_5 * p63_5</t>
  </si>
  <si>
    <t>c130_1</t>
  </si>
  <si>
    <t>c130_2</t>
  </si>
  <si>
    <t>c130_3</t>
  </si>
  <si>
    <t>c130_4</t>
  </si>
  <si>
    <t>c130_5</t>
  </si>
  <si>
    <t>p65_1</t>
  </si>
  <si>
    <t>p65_2</t>
  </si>
  <si>
    <t>p65_3</t>
  </si>
  <si>
    <t>p65_4</t>
  </si>
  <si>
    <t>p65_5</t>
  </si>
  <si>
    <t>c135_1</t>
  </si>
  <si>
    <t>c135_2</t>
  </si>
  <si>
    <t>c135_3</t>
  </si>
  <si>
    <t>c135_4</t>
  </si>
  <si>
    <t>c135_5</t>
  </si>
  <si>
    <t>p67_1</t>
  </si>
  <si>
    <t>p68_1</t>
  </si>
  <si>
    <t>p67_2</t>
  </si>
  <si>
    <t>p68_2</t>
  </si>
  <si>
    <t>p67_3</t>
  </si>
  <si>
    <t>p68_3</t>
  </si>
  <si>
    <t>p67_4</t>
  </si>
  <si>
    <t>p68_4</t>
  </si>
  <si>
    <t>p67_5</t>
  </si>
  <si>
    <t>p68_5</t>
  </si>
  <si>
    <t>p67_1 * p68_1</t>
  </si>
  <si>
    <t>p67_2 * p68_2</t>
  </si>
  <si>
    <t>p67_3 * p68_3</t>
  </si>
  <si>
    <t>p67_4 * p68_4</t>
  </si>
  <si>
    <t>p67_5 * p68_5</t>
  </si>
  <si>
    <t>c140_1</t>
  </si>
  <si>
    <t>c140_2</t>
  </si>
  <si>
    <t>c140_3</t>
  </si>
  <si>
    <t>c140_4</t>
  </si>
  <si>
    <t>c140_5</t>
  </si>
  <si>
    <t>p70_1</t>
  </si>
  <si>
    <t>p70_2</t>
  </si>
  <si>
    <t>p70_3</t>
  </si>
  <si>
    <t>p70_4</t>
  </si>
  <si>
    <t>p70_5</t>
  </si>
  <si>
    <t>c145_1</t>
  </si>
  <si>
    <t>c145_2</t>
  </si>
  <si>
    <t>c145_3</t>
  </si>
  <si>
    <t>c145_4</t>
  </si>
  <si>
    <t>c145_5</t>
  </si>
  <si>
    <t>p72_1</t>
  </si>
  <si>
    <t>p73_1</t>
  </si>
  <si>
    <t>p72_2</t>
  </si>
  <si>
    <t>p73_2</t>
  </si>
  <si>
    <t>p72_3</t>
  </si>
  <si>
    <t>p73_3</t>
  </si>
  <si>
    <t>p72_4</t>
  </si>
  <si>
    <t>p73_4</t>
  </si>
  <si>
    <t>p72_5</t>
  </si>
  <si>
    <t>p73_5</t>
  </si>
  <si>
    <t>p72_1 * p73_1</t>
  </si>
  <si>
    <t>p72_2 * p73_2</t>
  </si>
  <si>
    <t>p72_3 * p73_3</t>
  </si>
  <si>
    <t>p72_4 * p73_4</t>
  </si>
  <si>
    <t>p72_5 * p73_5</t>
  </si>
  <si>
    <t>c150_1</t>
  </si>
  <si>
    <t>c150_2</t>
  </si>
  <si>
    <t>c150_3</t>
  </si>
  <si>
    <t>c150_4</t>
  </si>
  <si>
    <t>c150_5</t>
  </si>
  <si>
    <t>p75_1</t>
  </si>
  <si>
    <t>p75_2</t>
  </si>
  <si>
    <t>p75_3</t>
  </si>
  <si>
    <t>p75_4</t>
  </si>
  <si>
    <t>p75_5</t>
  </si>
  <si>
    <t>c155_1</t>
  </si>
  <si>
    <t>c155_2</t>
  </si>
  <si>
    <t>c155_3</t>
  </si>
  <si>
    <t>c155_4</t>
  </si>
  <si>
    <t>c155_5</t>
  </si>
  <si>
    <t>p77_1</t>
  </si>
  <si>
    <t>p78_1</t>
  </si>
  <si>
    <t>p77_2</t>
  </si>
  <si>
    <t>p78_2</t>
  </si>
  <si>
    <t>p77_3</t>
  </si>
  <si>
    <t>p78_3</t>
  </si>
  <si>
    <t>p77_4</t>
  </si>
  <si>
    <t>p78_4</t>
  </si>
  <si>
    <t>p77_5</t>
  </si>
  <si>
    <t>p78_5</t>
  </si>
  <si>
    <t>p77_1 * p78_1</t>
  </si>
  <si>
    <t>p77_2 * p78_2</t>
  </si>
  <si>
    <t>p77_3 * p78_3</t>
  </si>
  <si>
    <t>p77_4 * p78_4</t>
  </si>
  <si>
    <t>p77_5 * p78_5</t>
  </si>
  <si>
    <t>c160_1</t>
  </si>
  <si>
    <t>c160_2</t>
  </si>
  <si>
    <t>c160_3</t>
  </si>
  <si>
    <t>c160_4</t>
  </si>
  <si>
    <t>c160_5</t>
  </si>
  <si>
    <t>p80_1</t>
  </si>
  <si>
    <t>p80_2</t>
  </si>
  <si>
    <t>p80_3</t>
  </si>
  <si>
    <t>p80_4</t>
  </si>
  <si>
    <t>p80_5</t>
  </si>
  <si>
    <t>p45_6</t>
  </si>
  <si>
    <t>p45_7</t>
  </si>
  <si>
    <t>p45_8</t>
  </si>
  <si>
    <t>p45_9</t>
  </si>
  <si>
    <t>p45_10</t>
  </si>
  <si>
    <t>p45_1 * p45_2</t>
  </si>
  <si>
    <t>p45_3 * p45_4</t>
  </si>
  <si>
    <t>p45_5 * p45_6</t>
  </si>
  <si>
    <t>p45_7 * p45_8</t>
  </si>
  <si>
    <t>p45_9 * p45_10</t>
  </si>
  <si>
    <t>p50_6</t>
  </si>
  <si>
    <t>p50_7</t>
  </si>
  <si>
    <t>p50_8</t>
  </si>
  <si>
    <t>p50_9</t>
  </si>
  <si>
    <t>p50_10</t>
  </si>
  <si>
    <t>p50_1 * p50_2</t>
  </si>
  <si>
    <t>p50_3 * p50_4</t>
  </si>
  <si>
    <t>p50_5 * p50_6</t>
  </si>
  <si>
    <t>p50_7 * p50_8</t>
  </si>
  <si>
    <t>p50_9 * p50_10</t>
  </si>
  <si>
    <t>p55_6</t>
  </si>
  <si>
    <t>p55_7</t>
  </si>
  <si>
    <t>p55_8</t>
  </si>
  <si>
    <t>p55_9</t>
  </si>
  <si>
    <t>p55_10</t>
  </si>
  <si>
    <t>p55_1 * p55_2</t>
  </si>
  <si>
    <t>p55_3 * p55_4</t>
  </si>
  <si>
    <t>p55_5 * p55_6</t>
  </si>
  <si>
    <t>p55_7 * p55_8</t>
  </si>
  <si>
    <t>p55_9 * p55_10</t>
  </si>
  <si>
    <t>p60_6</t>
  </si>
  <si>
    <t>p60_7</t>
  </si>
  <si>
    <t>p60_8</t>
  </si>
  <si>
    <t>p60_9</t>
  </si>
  <si>
    <t>p60_10</t>
  </si>
  <si>
    <t>p60_1 * p60_2</t>
  </si>
  <si>
    <t>p60_3 * p60_4</t>
  </si>
  <si>
    <t>p60_5 * p60_6</t>
  </si>
  <si>
    <t>p60_7 * p60_8</t>
  </si>
  <si>
    <t>p60_9 * p60_10</t>
  </si>
  <si>
    <t>p65_6</t>
  </si>
  <si>
    <t>p65_7</t>
  </si>
  <si>
    <t>p65_8</t>
  </si>
  <si>
    <t>p65_9</t>
  </si>
  <si>
    <t>p65_10</t>
  </si>
  <si>
    <t>p65_1 * p65_2</t>
  </si>
  <si>
    <t>p65_3 * p65_4</t>
  </si>
  <si>
    <t>p65_5 * p65_6</t>
  </si>
  <si>
    <t>p65_7 * p65_8</t>
  </si>
  <si>
    <t>p65_9 * p65_10</t>
  </si>
  <si>
    <t>p70_6</t>
  </si>
  <si>
    <t>p70_7</t>
  </si>
  <si>
    <t>p70_8</t>
  </si>
  <si>
    <t>p70_9</t>
  </si>
  <si>
    <t>p70_10</t>
  </si>
  <si>
    <t>p70_1 * p70_2</t>
  </si>
  <si>
    <t>p70_3 * p70_4</t>
  </si>
  <si>
    <t>p70_5 * p70_6</t>
  </si>
  <si>
    <t>p70_7 * p70_8</t>
  </si>
  <si>
    <t>p70_9 * p70_10</t>
  </si>
  <si>
    <t>p75_6</t>
  </si>
  <si>
    <t>p75_7</t>
  </si>
  <si>
    <t>p75_8</t>
  </si>
  <si>
    <t>p75_9</t>
  </si>
  <si>
    <t>p75_10</t>
  </si>
  <si>
    <t>p75_1 * p75_2</t>
  </si>
  <si>
    <t>p75_3 * p75_4</t>
  </si>
  <si>
    <t>p75_5 * p75_6</t>
  </si>
  <si>
    <t>p75_7 * p75_8</t>
  </si>
  <si>
    <t>p75_9 * p75_10</t>
  </si>
  <si>
    <t>p80_6</t>
  </si>
  <si>
    <t>p80_7</t>
  </si>
  <si>
    <t>p80_8</t>
  </si>
  <si>
    <t>p80_9</t>
  </si>
  <si>
    <t>p80_10</t>
  </si>
  <si>
    <t>p80_9 * p80_10</t>
  </si>
  <si>
    <t>p80_1 * p80_2</t>
  </si>
  <si>
    <t>p80_3 * p80_4</t>
  </si>
  <si>
    <t>p80_5 * p80_6</t>
  </si>
  <si>
    <t>p80_7 * p80_8</t>
  </si>
  <si>
    <t>c165_1</t>
  </si>
  <si>
    <t>c165_2</t>
  </si>
  <si>
    <t>c165_3</t>
  </si>
  <si>
    <t>c165_4</t>
  </si>
  <si>
    <t>c165_5</t>
  </si>
  <si>
    <t>p82_1</t>
  </si>
  <si>
    <t>p83_1</t>
  </si>
  <si>
    <t>p82_2</t>
  </si>
  <si>
    <t>p83_2</t>
  </si>
  <si>
    <t>p82_3</t>
  </si>
  <si>
    <t>p83_3</t>
  </si>
  <si>
    <t>p82_4</t>
  </si>
  <si>
    <t>p83_4</t>
  </si>
  <si>
    <t>p82_5</t>
  </si>
  <si>
    <t>p83_5</t>
  </si>
  <si>
    <t>p82_1 * p83_1</t>
  </si>
  <si>
    <t>p82_2 * p83_2</t>
  </si>
  <si>
    <t>p82_3 * p83_3</t>
  </si>
  <si>
    <t>p82_4 * p83_4</t>
  </si>
  <si>
    <t>p82_5 * p83_5</t>
  </si>
  <si>
    <t>c170_1</t>
  </si>
  <si>
    <t>c170_2</t>
  </si>
  <si>
    <t>c170_3</t>
  </si>
  <si>
    <t>c170_4</t>
  </si>
  <si>
    <t>c170_5</t>
  </si>
  <si>
    <t>p85_1</t>
  </si>
  <si>
    <t>p85_2</t>
  </si>
  <si>
    <t>p85_3</t>
  </si>
  <si>
    <t>p85_4</t>
  </si>
  <si>
    <t>p85_5</t>
  </si>
  <si>
    <t>p85_6</t>
  </si>
  <si>
    <t>p85_7</t>
  </si>
  <si>
    <t>p85_8</t>
  </si>
  <si>
    <t>p85_9</t>
  </si>
  <si>
    <t>p85_10</t>
  </si>
  <si>
    <t>p85_1 * p85_2</t>
  </si>
  <si>
    <t>p85_3 * p85_4</t>
  </si>
  <si>
    <t>p85_5 * p85_6</t>
  </si>
  <si>
    <t>p85_7 * p85_8</t>
  </si>
  <si>
    <t>p85_9 * p85_10</t>
  </si>
  <si>
    <t>c175_1</t>
  </si>
  <si>
    <t>c175_2</t>
  </si>
  <si>
    <t>c175_3</t>
  </si>
  <si>
    <t>c175_4</t>
  </si>
  <si>
    <t>c175_5</t>
  </si>
  <si>
    <t>p87_1</t>
  </si>
  <si>
    <t>p88_1</t>
  </si>
  <si>
    <t>p87_2</t>
  </si>
  <si>
    <t>p88_2</t>
  </si>
  <si>
    <t>p87_3</t>
  </si>
  <si>
    <t>p88_3</t>
  </si>
  <si>
    <t>p87_4</t>
  </si>
  <si>
    <t>p88_4</t>
  </si>
  <si>
    <t>p87_5</t>
  </si>
  <si>
    <t>p88_5</t>
  </si>
  <si>
    <t>p87_1 * p88_1</t>
  </si>
  <si>
    <t>p87_2 * p88_2</t>
  </si>
  <si>
    <t>p87_3 * p88_3</t>
  </si>
  <si>
    <t>p87_4 * p88_4</t>
  </si>
  <si>
    <t>p87_5 * p88_5</t>
  </si>
  <si>
    <t>c180_1</t>
  </si>
  <si>
    <t>c180_2</t>
  </si>
  <si>
    <t>c180_3</t>
  </si>
  <si>
    <t>c180_4</t>
  </si>
  <si>
    <t>c180_5</t>
  </si>
  <si>
    <t>p90_1</t>
  </si>
  <si>
    <t>p90_2</t>
  </si>
  <si>
    <t>p90_3</t>
  </si>
  <si>
    <t>p90_4</t>
  </si>
  <si>
    <t>p90_5</t>
  </si>
  <si>
    <t>p90_6</t>
  </si>
  <si>
    <t>p90_7</t>
  </si>
  <si>
    <t>p90_8</t>
  </si>
  <si>
    <t>p90_9</t>
  </si>
  <si>
    <t>p90_10</t>
  </si>
  <si>
    <t>p90_1 * p90_2</t>
  </si>
  <si>
    <t>p90_3 * p90_4</t>
  </si>
  <si>
    <t>p90_5 * p90_6</t>
  </si>
  <si>
    <t>p90_7 * p90_8</t>
  </si>
  <si>
    <t>p90_9 * p90_10</t>
  </si>
  <si>
    <t>c185_1</t>
  </si>
  <si>
    <t>c185_2</t>
  </si>
  <si>
    <t>c185_3</t>
  </si>
  <si>
    <t>c185_4</t>
  </si>
  <si>
    <t>c185_5</t>
  </si>
  <si>
    <t>p92_1</t>
  </si>
  <si>
    <t>p93_1</t>
  </si>
  <si>
    <t>p92_2</t>
  </si>
  <si>
    <t>p93_2</t>
  </si>
  <si>
    <t>p92_3</t>
  </si>
  <si>
    <t>p93_3</t>
  </si>
  <si>
    <t>p92_4</t>
  </si>
  <si>
    <t>p93_4</t>
  </si>
  <si>
    <t>p92_5</t>
  </si>
  <si>
    <t>p93_5</t>
  </si>
  <si>
    <t>p92_1 * p93_1</t>
  </si>
  <si>
    <t>p92_2 * p93_2</t>
  </si>
  <si>
    <t>p92_3 * p93_3</t>
  </si>
  <si>
    <t>p92_4 * p93_4</t>
  </si>
  <si>
    <t>p92_5 * p93_5</t>
  </si>
  <si>
    <t>c190_1</t>
  </si>
  <si>
    <t>c190_2</t>
  </si>
  <si>
    <t>c190_3</t>
  </si>
  <si>
    <t>c190_4</t>
  </si>
  <si>
    <t>c190_5</t>
  </si>
  <si>
    <t>p95_1</t>
  </si>
  <si>
    <t>p95_2</t>
  </si>
  <si>
    <t>p95_3</t>
  </si>
  <si>
    <t>p95_4</t>
  </si>
  <si>
    <t>p95_5</t>
  </si>
  <si>
    <t>p95_6</t>
  </si>
  <si>
    <t>p95_7</t>
  </si>
  <si>
    <t>p95_8</t>
  </si>
  <si>
    <t>p95_9</t>
  </si>
  <si>
    <t>p95_10</t>
  </si>
  <si>
    <t>p95_1 * p95_2</t>
  </si>
  <si>
    <t>p95_3 * p95_4</t>
  </si>
  <si>
    <t>p95_5 * p95_6</t>
  </si>
  <si>
    <t>p95_7 * p95_8</t>
  </si>
  <si>
    <t>p95_9 * p95_10</t>
  </si>
  <si>
    <t>c195_1</t>
  </si>
  <si>
    <t>c195_2</t>
  </si>
  <si>
    <t>c195_3</t>
  </si>
  <si>
    <t>c195_4</t>
  </si>
  <si>
    <t>c195_5</t>
  </si>
  <si>
    <t>p97_1</t>
  </si>
  <si>
    <t>p98_1</t>
  </si>
  <si>
    <t>p97_2</t>
  </si>
  <si>
    <t>p98_2</t>
  </si>
  <si>
    <t>p97_3</t>
  </si>
  <si>
    <t>p98_3</t>
  </si>
  <si>
    <t>p97_4</t>
  </si>
  <si>
    <t>p98_4</t>
  </si>
  <si>
    <t>p97_5</t>
  </si>
  <si>
    <t>p98_5</t>
  </si>
  <si>
    <t>p97_1 * p98_1</t>
  </si>
  <si>
    <t>p97_2 * p98_2</t>
  </si>
  <si>
    <t>p97_3 * p98_3</t>
  </si>
  <si>
    <t>p97_4 * p98_4</t>
  </si>
  <si>
    <t>p97_5 * p98_5</t>
  </si>
  <si>
    <t>c200_1</t>
  </si>
  <si>
    <t>c200_2</t>
  </si>
  <si>
    <t>c200_3</t>
  </si>
  <si>
    <t>c200_4</t>
  </si>
  <si>
    <t>c200_5</t>
  </si>
  <si>
    <t>p100_1</t>
  </si>
  <si>
    <t>p100_2</t>
  </si>
  <si>
    <t>p100_3</t>
  </si>
  <si>
    <t>p100_4</t>
  </si>
  <si>
    <t>p100_5</t>
  </si>
  <si>
    <t>p100_6</t>
  </si>
  <si>
    <t>p100_7</t>
  </si>
  <si>
    <t>p100_8</t>
  </si>
  <si>
    <t>p100_9</t>
  </si>
  <si>
    <t>p100_10</t>
  </si>
  <si>
    <t>p100_1 * p100_2</t>
  </si>
  <si>
    <t>p100_3 * p100_4</t>
  </si>
  <si>
    <t>p100_5 * p100_6</t>
  </si>
  <si>
    <t>p100_7 * p100_8</t>
  </si>
  <si>
    <t>p100_9 * p100_10</t>
  </si>
  <si>
    <t>c205_1</t>
  </si>
  <si>
    <t>c205_2</t>
  </si>
  <si>
    <t>c205_3</t>
  </si>
  <si>
    <t>c205_4</t>
  </si>
  <si>
    <t>c205_5</t>
  </si>
  <si>
    <t>p102_1</t>
  </si>
  <si>
    <t>p103_1</t>
  </si>
  <si>
    <t>p102_2</t>
  </si>
  <si>
    <t>p103_2</t>
  </si>
  <si>
    <t>p102_3</t>
  </si>
  <si>
    <t>p103_3</t>
  </si>
  <si>
    <t>p102_4</t>
  </si>
  <si>
    <t>p103_4</t>
  </si>
  <si>
    <t>p102_5</t>
  </si>
  <si>
    <t>p103_5</t>
  </si>
  <si>
    <t>p102_1 * p103_1</t>
  </si>
  <si>
    <t>p102_2 * p103_2</t>
  </si>
  <si>
    <t>p102_3 * p103_3</t>
  </si>
  <si>
    <t>p102_4 * p103_4</t>
  </si>
  <si>
    <t>p102_5 * p103_5</t>
  </si>
  <si>
    <t>c210_1</t>
  </si>
  <si>
    <t>c210_2</t>
  </si>
  <si>
    <t>c210_3</t>
  </si>
  <si>
    <t>c210_4</t>
  </si>
  <si>
    <t>c210_5</t>
  </si>
  <si>
    <t>p105_1</t>
  </si>
  <si>
    <t>p105_2</t>
  </si>
  <si>
    <t>p105_3</t>
  </si>
  <si>
    <t>p105_4</t>
  </si>
  <si>
    <t>p105_5</t>
  </si>
  <si>
    <t>p105_6</t>
  </si>
  <si>
    <t>p105_7</t>
  </si>
  <si>
    <t>p105_8</t>
  </si>
  <si>
    <t>p105_9</t>
  </si>
  <si>
    <t>p105_10</t>
  </si>
  <si>
    <t>p105_1 * p105_2</t>
  </si>
  <si>
    <t>p105_3 * p105_4</t>
  </si>
  <si>
    <t>p105_5 * p105_6</t>
  </si>
  <si>
    <t>p105_7 * p105_8</t>
  </si>
  <si>
    <t>p105_9 * p105_10</t>
  </si>
  <si>
    <t>c220_1</t>
  </si>
  <si>
    <t>c220_2</t>
  </si>
  <si>
    <t>c220_3</t>
  </si>
  <si>
    <t>c220_4</t>
  </si>
  <si>
    <t>c220_5</t>
  </si>
  <si>
    <t>p110_1</t>
  </si>
  <si>
    <t>p110_2</t>
  </si>
  <si>
    <t>p110_3</t>
  </si>
  <si>
    <t>p110_4</t>
  </si>
  <si>
    <t>p110_5</t>
  </si>
  <si>
    <t>p110_6</t>
  </si>
  <si>
    <t>p110_7</t>
  </si>
  <si>
    <t>p110_8</t>
  </si>
  <si>
    <t>p110_9</t>
  </si>
  <si>
    <t>p110_10</t>
  </si>
  <si>
    <t>p110_1 * p110_2</t>
  </si>
  <si>
    <t>p110_3 * p110_4</t>
  </si>
  <si>
    <t>p110_5 * p110_6</t>
  </si>
  <si>
    <t>p110_7 * p110_8</t>
  </si>
  <si>
    <t>p110_9 * p110_10</t>
  </si>
  <si>
    <t>c230_1</t>
  </si>
  <si>
    <t>c230_2</t>
  </si>
  <si>
    <t>c230_3</t>
  </si>
  <si>
    <t>c230_4</t>
  </si>
  <si>
    <t>c230_5</t>
  </si>
  <si>
    <t>p115_1</t>
  </si>
  <si>
    <t>p115_2</t>
  </si>
  <si>
    <t>p115_3</t>
  </si>
  <si>
    <t>p115_4</t>
  </si>
  <si>
    <t>p115_5</t>
  </si>
  <si>
    <t>p115_6</t>
  </si>
  <si>
    <t>p115_7</t>
  </si>
  <si>
    <t>p115_8</t>
  </si>
  <si>
    <t>p115_9</t>
  </si>
  <si>
    <t>p115_10</t>
  </si>
  <si>
    <t>p115_1 * p115_2</t>
  </si>
  <si>
    <t>p115_3 * p115_4</t>
  </si>
  <si>
    <t>p115_5 * p115_6</t>
  </si>
  <si>
    <t>p115_7 * p115_8</t>
  </si>
  <si>
    <t>p115_9 * p115_10</t>
  </si>
  <si>
    <t>c270_1</t>
  </si>
  <si>
    <t>c270_2</t>
  </si>
  <si>
    <t>c270_3</t>
  </si>
  <si>
    <t>c270_4</t>
  </si>
  <si>
    <t>c270_5</t>
  </si>
  <si>
    <t>p135_1</t>
  </si>
  <si>
    <t>p135_2</t>
  </si>
  <si>
    <t>p135_3</t>
  </si>
  <si>
    <t>p135_4</t>
  </si>
  <si>
    <t>p135_5</t>
  </si>
  <si>
    <t>p135_6</t>
  </si>
  <si>
    <t>p135_7</t>
  </si>
  <si>
    <t>p135_8</t>
  </si>
  <si>
    <t>p135_9</t>
  </si>
  <si>
    <t>p135_10</t>
  </si>
  <si>
    <t>p135_1 * p135_2</t>
  </si>
  <si>
    <t>p135_3 * p135_4</t>
  </si>
  <si>
    <t>p135_5 * p135_6</t>
  </si>
  <si>
    <t>p135_7 * p135_8</t>
  </si>
  <si>
    <t>p135_9 * p135_10</t>
  </si>
  <si>
    <t>c310_1</t>
  </si>
  <si>
    <t>c310_2</t>
  </si>
  <si>
    <t>c310_3</t>
  </si>
  <si>
    <t>c310_4</t>
  </si>
  <si>
    <t>c310_5</t>
  </si>
  <si>
    <t>p155_1</t>
  </si>
  <si>
    <t>p155_2</t>
  </si>
  <si>
    <t>p155_3</t>
  </si>
  <si>
    <t>p155_4</t>
  </si>
  <si>
    <t>p155_5</t>
  </si>
  <si>
    <t>p155_6</t>
  </si>
  <si>
    <t>p155_7</t>
  </si>
  <si>
    <t>p155_8</t>
  </si>
  <si>
    <t>p155_9</t>
  </si>
  <si>
    <t>p155_10</t>
  </si>
  <si>
    <t>p155_1 * p155_2</t>
  </si>
  <si>
    <t>p155_3 * p155_4</t>
  </si>
  <si>
    <t>p155_5 * p155_6</t>
  </si>
  <si>
    <t>p155_7 * p155_8</t>
  </si>
  <si>
    <t>p155_9 * p155_10</t>
  </si>
  <si>
    <t>480412302612511</t>
  </si>
  <si>
    <t>844888733776807</t>
  </si>
  <si>
    <t>458764419518233</t>
  </si>
  <si>
    <t>991803903450869</t>
  </si>
  <si>
    <t>373504884012541</t>
  </si>
  <si>
    <t>668387553663107</t>
  </si>
  <si>
    <t>770854330940293</t>
  </si>
  <si>
    <t>682811476752253</t>
  </si>
  <si>
    <t>915004834618657</t>
  </si>
  <si>
    <t>846798639194195152098734771521</t>
  </si>
  <si>
    <t xml:space="preserve"> </t>
  </si>
  <si>
    <t>319035659683344096034116722087</t>
  </si>
  <si>
    <t>161802285212967559357949541107</t>
  </si>
  <si>
    <t>813341880682359326837706097669</t>
  </si>
  <si>
    <t>858269232367355914529018280979</t>
  </si>
  <si>
    <t>178348024456108961529643394803</t>
  </si>
  <si>
    <t>723850514478884229449043967009</t>
  </si>
  <si>
    <t>705795440056325029722037582367</t>
  </si>
  <si>
    <t>526236234899130001829583380441</t>
  </si>
  <si>
    <t>801449491046057583682702027819</t>
  </si>
  <si>
    <t>76549202771421443926924162183531</t>
  </si>
  <si>
    <t>85924149698998213593135406265281</t>
  </si>
  <si>
    <t>27147093246675019765638079999139</t>
  </si>
  <si>
    <t>44201796072864227102908616770387</t>
  </si>
  <si>
    <t>85586395464056633370770851696813</t>
  </si>
  <si>
    <t>927015966073432467252318717723191</t>
  </si>
  <si>
    <t>610760760360837877836528501195119</t>
  </si>
  <si>
    <t>472052046936586624980772544509333</t>
  </si>
  <si>
    <t>933125195932588623187891244031317</t>
  </si>
  <si>
    <t>416142494010409199039500272250697</t>
  </si>
  <si>
    <t>78824176743920700761300251436379191</t>
  </si>
  <si>
    <t>64262058455050171864693564180184861</t>
  </si>
  <si>
    <t>53658698193923701214689221021341491</t>
  </si>
  <si>
    <t>89944525652497752432172802944868657</t>
  </si>
  <si>
    <t>94710461576202422109308609817441047</t>
  </si>
  <si>
    <t>55000568689770468975622283143923271</t>
  </si>
  <si>
    <t>23048563485253557025472753892489869</t>
  </si>
  <si>
    <t>14150809814837382110356171627766238983</t>
  </si>
  <si>
    <t>5613371002332698571165766334791819559</t>
  </si>
  <si>
    <t>77296365609881867832870303654644497121</t>
  </si>
  <si>
    <t>8078204651111005307758045734112314797</t>
  </si>
  <si>
    <t>78442773967836979541568352372471874419</t>
  </si>
  <si>
    <t>40846023895970022458533836136575898453</t>
  </si>
  <si>
    <t>4546874967151592341130232109058896511</t>
  </si>
  <si>
    <t>58077891876112693119964976353760299981</t>
  </si>
  <si>
    <t>387604889508611762201489022031</t>
  </si>
  <si>
    <t>370443601921602238297373348129</t>
  </si>
  <si>
    <t>515229440487793530199853870351</t>
  </si>
  <si>
    <t>624775802361416215164120584221</t>
  </si>
  <si>
    <t>270158962474278129947502529393947224155579519000305399284327</t>
  </si>
  <si>
    <t>131600574953818533525929343912141699516620847096154272379583</t>
  </si>
  <si>
    <t>153070622044179057748882207451528002951447706011564882352137</t>
  </si>
  <si>
    <t>380916369369166223835000840537989330192067514115963099870969</t>
  </si>
  <si>
    <t>565659396215769938944550584754159495444187942355479137867573</t>
  </si>
  <si>
    <t>70962333159300323860735946025580465706386779914381672223396967421</t>
  </si>
  <si>
    <t>52479099003518608005080416097399317927718712579637510608856363439</t>
  </si>
  <si>
    <t>12814840935471330219401575866111072862033390263058815039817464287</t>
  </si>
  <si>
    <t>41245809621063758265950275763457507730272824530590064942826209679</t>
  </si>
  <si>
    <t>35616136061773700593614957693428344075535945490634915240971928661</t>
  </si>
  <si>
    <t>3448218399959819970213731562518237292980562954246763361792618589367751</t>
  </si>
  <si>
    <t>8518687540800641470757003759308721783566226486124083108546231255563879</t>
  </si>
  <si>
    <t>1267684099171223704859141191406919890628420123767863609736051280841499</t>
  </si>
  <si>
    <t>433893177300217311933345121088601425145377048510987183996038418426126989639</t>
  </si>
  <si>
    <t>p38_2</t>
  </si>
  <si>
    <t>633676781513029976808183874187929054298089801609412027629645325509579477943</t>
  </si>
  <si>
    <t>264072912716433633215530290378250436849916754398247021017432273328194266291</t>
  </si>
  <si>
    <t>4835902903843987431023656140189908630297</t>
  </si>
  <si>
    <t>4616625383406851097713050350825918930139</t>
  </si>
  <si>
    <t>4279976781191250910852277526423832396499</t>
  </si>
  <si>
    <t>6805811087423840112837179399317241820233</t>
  </si>
  <si>
    <t>8012752798359093097164781815683249036789</t>
  </si>
  <si>
    <t>4569746302319890590294885832494913479241</t>
  </si>
  <si>
    <t>8357013931366794205835397502874881649917</t>
  </si>
  <si>
    <t>1486384182897709999610918232139967947121</t>
  </si>
  <si>
    <t>257620236392177807216058303946489379859121</t>
  </si>
  <si>
    <t>7694572647255218980161562068184056561741221</t>
  </si>
  <si>
    <t>210220124839329461015309794852812090069239</t>
  </si>
  <si>
    <t>7385232840132153858382177900542713858725141</t>
  </si>
  <si>
    <t>1869444332377354162386199970968217795670629</t>
  </si>
  <si>
    <t>914457963925432046944400615717466072676283</t>
  </si>
  <si>
    <t>5524322300309023836693437085179632595464273</t>
  </si>
  <si>
    <t>408863096549504952737284209599408368547754337</t>
  </si>
  <si>
    <t>451671477696653440315048152507305132064605653</t>
  </si>
  <si>
    <t>902262387126825761798765631464601720019632511</t>
  </si>
  <si>
    <t>960086108323602973238256788925657767875153387</t>
  </si>
  <si>
    <t>252757026778455586964290610224287878102870551</t>
  </si>
  <si>
    <t>909573450506906523891570040345507342270852819</t>
  </si>
  <si>
    <t>325789078086274966887553822411627267844164097</t>
  </si>
  <si>
    <t>868262865343244184453640410227778796499642939</t>
  </si>
  <si>
    <t>48721788456457288334994581488330437876424694401</t>
  </si>
  <si>
    <t>706576514975741970906436977094794094993690235759</t>
  </si>
  <si>
    <t>88488255365948689872591384388175694804038411473</t>
  </si>
  <si>
    <t>172554940823657323533046184467555398488750551429</t>
  </si>
  <si>
    <t>55872581575169029221103692826756810667329937909</t>
  </si>
  <si>
    <t>786303304512385149023853347816361727649553499303</t>
  </si>
  <si>
    <t>45829208474486173260129637522157567657898087949</t>
  </si>
  <si>
    <t>68156930305984654372141958331355840484704900157</t>
  </si>
  <si>
    <t>989579508139558391453985909457259120422486211093</t>
  </si>
  <si>
    <t>23523692281748336775212449901835456458439391179311</t>
  </si>
  <si>
    <t>72240363514724329501950482948542021651842277484171</t>
  </si>
  <si>
    <t>33631582939425878450327445552457361591568636054709</t>
  </si>
  <si>
    <t>50458479062317774703731686979313438479491293663347</t>
  </si>
  <si>
    <t>87364960540672245979743767465217211638867291138167</t>
  </si>
  <si>
    <t>85432330182927763846525276007787727782598363795663</t>
  </si>
  <si>
    <t>49527491085696255428120526945544594172746646222101</t>
  </si>
  <si>
    <t>9624079919248161739240457266696000767224732039319827</t>
  </si>
  <si>
    <t>47387547148440204259970148231653372711919402703648429</t>
  </si>
  <si>
    <t>4315890108495130773797530739284492560035116165587767</t>
  </si>
  <si>
    <t>85189917239579192038871847829047415992809577552312721</t>
  </si>
  <si>
    <t>4998670981678358200229845302596369862768906808008361</t>
  </si>
  <si>
    <t>22627988806029896969148195121789820410432738900739993</t>
  </si>
  <si>
    <t>2175142887164527737679092646188086562247583391255289</t>
  </si>
  <si>
    <t>76029902363569722931122489831937267395848167393740697</t>
  </si>
  <si>
    <t>5183332760301663953835851349996486184062997873719979</t>
  </si>
  <si>
    <t>9878601314813352866529879357459839134024609597383993709</t>
  </si>
  <si>
    <t>6157943850962137354664465084852833322251872934912662761</t>
  </si>
  <si>
    <t>7924868558357284271969884518893799573059923052006672371</t>
  </si>
  <si>
    <t>3409323983735069735262928497779940173638933964164833803</t>
  </si>
  <si>
    <t>5949824246732283113564962908107501097122730466808744693</t>
  </si>
  <si>
    <t>5654448002883823841759681180984516563661624192660872579</t>
  </si>
  <si>
    <t>8360710165814024817095982811689971694964230704648822291</t>
  </si>
  <si>
    <t>6757221576988546177098061959856161153765977555246098013</t>
  </si>
  <si>
    <t>6318153694632907177826846027373444512073694966923370577</t>
  </si>
  <si>
    <t>8789054051231001723527885616797090381245496574446390561</t>
  </si>
  <si>
    <t>616994547353662896524534682286963503193464960907831169237</t>
  </si>
  <si>
    <t>5348213716510469381620604923087457296610770714333332399923</t>
  </si>
  <si>
    <t>992743518792276047759286232116220253439711667750334504849</t>
  </si>
  <si>
    <t>9626656022103764301751428010653412699155384240049120364201</t>
  </si>
  <si>
    <t>494850818322940522981546378434499724773398381769129869581</t>
  </si>
  <si>
    <t>4222531180240263679735157826351106459959741825884477017363</t>
  </si>
  <si>
    <t>471091268665996940360280965541196823761380573306971637797</t>
  </si>
  <si>
    <t>6735257138924264686044027690566207758484504355831181483637</t>
  </si>
  <si>
    <t>757204371381469703027778709055861499708120710263145714081</t>
  </si>
  <si>
    <t>671120836272700320756751137390895302744972122405295573030739</t>
  </si>
  <si>
    <t>558960155347365922982872873054400424722840934150579755236787</t>
  </si>
  <si>
    <t>968258913681460248252500173386538881112176429356888198008997</t>
  </si>
  <si>
    <t>494640119977187017012357418347758509761468311224455039862287</t>
  </si>
  <si>
    <t>391034930117725888955267154146680200892347961132571432004989</t>
  </si>
  <si>
    <t>381718723652042001033803776999407435491543797469401536272549</t>
  </si>
  <si>
    <t>769833790966863354817966123330854414236265512652529373284931</t>
  </si>
  <si>
    <t>482236172237201853688322867467949337628189045070017183501451</t>
  </si>
  <si>
    <t>433947266624327923312998967422421415043646090090446900142571</t>
  </si>
  <si>
    <t>77349045615318726989474910291738077532726696913475363887281689</t>
  </si>
  <si>
    <t>301034608738247316785067021787642278128697041381251312624799533</t>
  </si>
  <si>
    <t>20249443465975584328708625460824562314433372464325884225081017</t>
  </si>
  <si>
    <t>950756482421325104182017041939945836505420460037809352923433133</t>
  </si>
  <si>
    <t>52847132928242704968477865254877511331995139833232155343808951</t>
  </si>
  <si>
    <t>488817877299324342390350855309647510760919533842154187073328071</t>
  </si>
  <si>
    <t>46886603264104876305663235935793057855081281387864266312622349</t>
  </si>
  <si>
    <t>355346257255342312127763692449608425628710337213984572597518961</t>
  </si>
  <si>
    <t>50759608655875587079388324829307063197559477797146152708067297</t>
  </si>
  <si>
    <t>562622883345850798129580212762717083116570821529762079250985143</t>
  </si>
  <si>
    <t>61198682062865180737223949140562116687538509635337631697305927941</t>
  </si>
  <si>
    <t>24448535375774392401379061833836211015496190967496369299172181679</t>
  </si>
  <si>
    <t>86150679953561294887440316448527384146417519058022297237561186683</t>
  </si>
  <si>
    <t>31030228637635867005150198081516872087779193629584485978799527563</t>
  </si>
  <si>
    <t>25595738672241970464767557429365436699559824615383975788096852923</t>
  </si>
  <si>
    <t>28128531288932958912961833648421128028437199922951009994672797827</t>
  </si>
  <si>
    <t>94639085884046712772549107629334292349854896392377459015056531283</t>
  </si>
  <si>
    <t>39054991385364985028863842474915531151893265154222598398884814827</t>
  </si>
  <si>
    <t>5768882108571519335537854135356564064535322307750323566312878569781997</t>
  </si>
  <si>
    <t>3730167314701570358268080364488140392755235747560614329342446967679847</t>
  </si>
  <si>
    <t>3471703087198021187823072610079012944708892935463163011646662821780877</t>
  </si>
  <si>
    <t>2205306943684040855013042099874233112256809133442742994733888943127747</t>
  </si>
  <si>
    <t>9906834739154595366827273619426421105307643712188791450044836568222823</t>
  </si>
  <si>
    <t>3309553121171204798871538900395272803320885531620935957797895897192423</t>
  </si>
  <si>
    <t>7067777692896491695677366770834843736131435475081248739445985477930711</t>
  </si>
  <si>
    <t>2020647039138122962748917756869320456104577103399606890225952848133467</t>
  </si>
  <si>
    <t>19759049448439479184176522937086424897451260570328627367363435680238702529183361</t>
  </si>
  <si>
    <t>36616247471704821571396576989092411039908631698996839097279168833848305996797149</t>
  </si>
  <si>
    <t>12421733323839411520678710016028909439800915816097304142171943466998715890038957</t>
  </si>
  <si>
    <t>1982277624322674894166113602837774174396574680301486892709034652811641280371438526741</t>
  </si>
  <si>
    <t>1552524569620097059676866144089806746335565715173527535171195567117983196618960037699</t>
  </si>
  <si>
    <t>5051760522808449102576704875669572295270392323398841231956571756675349436204020937259</t>
  </si>
  <si>
    <t>184671798994144388450740670736346276089352361995825420520944120957617032299049814625467061</t>
  </si>
  <si>
    <t>866249583943358239154799858013318433163274188174537690213121264504406860174070035496964757</t>
  </si>
  <si>
    <t>229901080986746419740320242604781604840032464288022731627925086990513440697776302730433269</t>
  </si>
  <si>
    <t>282870558436723026339194438328553767891082454502269029260811614891102499519285555423361083</t>
  </si>
  <si>
    <t>34425671490948925476223459984882263766760541128851296269882471211236838562689825581339217285359</t>
  </si>
  <si>
    <t>15269085668259953802869624126444058639982688070827967423798590155048553138355264957525950144917</t>
  </si>
  <si>
    <t>43932795524193213071766766055631100086321720653581274279530901950260828130746008631444664777427</t>
  </si>
  <si>
    <t>67446701568498455289078930057344329985692750835566869326594174894570037482397151725541790841601</t>
  </si>
  <si>
    <t>9601590909873960227718258112574433545723600396585472620701053935753</t>
  </si>
  <si>
    <t>27262274231737707540229600860979990920902059289342462707138411986217</t>
  </si>
  <si>
    <t>261761204445943875386456374519977268406096931318954791867913558668700621513512518574931933294924974685539474198446881609603817839516401</t>
  </si>
  <si>
    <t>1699360081642014860420717078071627929658348036818807730347988473658544991760292729285855997825186181</t>
  </si>
  <si>
    <t>7463792155329166610627734665894027825986602260060189856351457659187409382384775359598966489488369721</t>
  </si>
  <si>
    <t>456061540933728858109333051425119781411707491537069633620661295756448294175717904489933113996816497101783</t>
  </si>
  <si>
    <t>367670321157818650645779808749655412530314416251316926029705349484547757084369651412608776611425156084007</t>
  </si>
  <si>
    <t>113109871018444365559380462232262572911788925605804463697635467692610517691171599178608010985521431081473</t>
  </si>
  <si>
    <t>165375901337932198594032300024741182842516395236550058326797800142356135710546711678910350743744195796433</t>
  </si>
  <si>
    <t>60831872222661371519146967422257906639576209121417275458849106182842547232027230798645985755218946281662570549</t>
  </si>
  <si>
    <t>27018444443955455384360816714273979357813913642836331965166379641202172032984003015092904979001935232286956913</t>
  </si>
  <si>
    <t>33642971829445109803937571283490886401895116941917544544732912520867266187698192972733797048162182061015473247</t>
  </si>
  <si>
    <t>56495171131386014169720786668649033175700744463441388856533206111484505218915428675514432837577343533605207783</t>
  </si>
  <si>
    <t>55530594326113474182160298324127005843304530889177083159024966848792871299411699285172798603813703033877923697</t>
  </si>
  <si>
    <t>3299818701169028231083714458802187217151460356501487873774077618273722628765048710040433684567754065664672378768751</t>
  </si>
  <si>
    <t>9556800373586145720294028588533235274909730308022800428221709185291266149423247492577223074349063716977759880510649</t>
  </si>
  <si>
    <t>2089523009936026346105309899671844297380857933077664097372702751496528186054340691123487955125211707639796062534903</t>
  </si>
  <si>
    <t>3172920830367544653979403026411202511893604106241038534524041279008259711515872872934868259284807431274590246227689</t>
  </si>
  <si>
    <t>4049690805224063781191130535622859362329294745523120971733762249363483306734425958344127861015485921568071304415763</t>
  </si>
  <si>
    <t>375129806899842702283647387915826564839231178100606601291551135978895340129999335512115000913633721507762008940174595593</t>
  </si>
  <si>
    <t>478939705232378264845398036470686332398191229446327771777993232814934226338312963149460413662973870537679197582466996139</t>
  </si>
  <si>
    <t>293859972112083980642082522420646162361844537151861777231744369514932626341554771288266582949094997936005205213450659119</t>
  </si>
  <si>
    <t>209265068809712355857441645071962608326533083243845291421739451244537615679797110811550669021347723015704808320885370521</t>
  </si>
  <si>
    <t>23284739683084317155730403309359914043623914413400375656846891615492514566897615119808686846793218317657761808604631926651237</t>
  </si>
  <si>
    <t>19252289640700432132187371675550161608392564227537338088451948469467762677497931814469748088164148203273537403232824707136261</t>
  </si>
  <si>
    <t>25832623339338825694390406435573233437370040570268489781691229389136510776517502899537195439119356987309191259261689169363521</t>
  </si>
  <si>
    <t>16660978985315783935939110078095926741301464869634296250267244872778200976659974102250907200931626239947418964545035159859389</t>
  </si>
  <si>
    <t>28558517379475728858302729261510778556092841387471899741084313618583174033759974285578782345225418045940100459964570791168471</t>
  </si>
  <si>
    <t>1496218143364729139473684184761740469986770279873064065018290555248593915697219341051261019783688134634959143745144437808534392939</t>
  </si>
  <si>
    <t>2673275296246799897604776425603834015574405042358085837808070575839635072407991308965219449229802628921742514050262758626047043529</t>
  </si>
  <si>
    <t>2662058488445421478966278638032756194294543648424710720989461829234749555007994689922316080456221619228264011440218236831359922041</t>
  </si>
  <si>
    <t>1853978875649270493719929369837620861281381554490984699694824156327</t>
  </si>
  <si>
    <t>91382415398148788967420675485098293255547974877531408799358676505051</t>
  </si>
  <si>
    <t>9762897034671275586282707253419295315114943542430255261306319451557</t>
  </si>
  <si>
    <t>90590146763279335871583951276695169178091441898100405869843610051297</t>
  </si>
  <si>
    <t>5363653967420472684469215662177521844213494917182248540163467329739</t>
  </si>
  <si>
    <t>57346457428841491972821276925895088279993084923788421396818173669659</t>
  </si>
  <si>
    <t>5931278085718307062389588986837833611361793511146050755664207652971</t>
  </si>
  <si>
    <t>54938786075617048887589190785693378054327258490927569232925428229629</t>
  </si>
  <si>
    <t>169421067753974474815306735819661754806143405965872945756878409601871566784540856659472855693831184536038762673582973635938378029107677</t>
  </si>
  <si>
    <t>884422275205655482174133593848433684581714205290975229986739821746534037220314268752845316150491983772874820751946612279791269676519429</t>
  </si>
  <si>
    <t>307586553905714907534126075301968300071112132634212770650068108336229716587485934938946570874525427621243057985608754408545915412689001</t>
  </si>
  <si>
    <t>325857217906273472956557934018921751621475637986238418240466665327099239483300091285436061015022508770086351846014138320561985732077759</t>
  </si>
  <si>
    <t>21518895483760157344459141812598966258911311051957672110412053315119220981913364683719917964363948796392487718413175789283267280883680314459</t>
  </si>
  <si>
    <t>21847611440187902818264035714690969400832172951534512314409446219759841021343747586614462031325868321460190836919940867181734697026849969781</t>
  </si>
  <si>
    <t>14281484068437769673352134273034840476823628499468634411553940235074881250540871279055603523492045352125806253558187444611512640897906205037</t>
  </si>
  <si>
    <t>471111740371229</t>
  </si>
  <si>
    <t>226327875979529581665679846019</t>
  </si>
  <si>
    <t>88896578597003860525309714761757499</t>
  </si>
  <si>
    <t>7007199623260070419891582873314225809578533267105177542008744151803309</t>
  </si>
  <si>
    <t>26133456354916163764212549735459179</t>
  </si>
  <si>
    <t>48858473155143455278247567329171669</t>
  </si>
  <si>
    <t>1276840775767784521802327765895334261544253657624622651734099432799751</t>
  </si>
  <si>
    <t>7239463100311307794661230393149709919</t>
  </si>
  <si>
    <t>102444265494038317684651151787242362882021014514791324932403992108079572377</t>
  </si>
  <si>
    <t>9341455216432580426783371744333006213</t>
  </si>
  <si>
    <t>381561302993538998124230560277302039953802679219892467041697202762906088489</t>
  </si>
  <si>
    <t>8883434492709803107278789955261163796133</t>
  </si>
  <si>
    <t>42959426659403176239217003499730158418529415254687619782970463232061782975241501</t>
  </si>
  <si>
    <t>5458935397290847113666861090097978095589</t>
  </si>
  <si>
    <t>37152483052412512844574497825524744591149741931125887882542608754368617228252237</t>
  </si>
  <si>
    <t>814420953440498391507062850636618314644937</t>
  </si>
  <si>
    <t>1522514635578700753973305220054513054916889591398616119162910213373611813785934455373</t>
  </si>
  <si>
    <t>662919475364018865052508454392937291787411</t>
  </si>
  <si>
    <t>1239291056041834127368973278360887792675560719580177612737247875066429830232844651519</t>
  </si>
  <si>
    <t>625930465875200917913324782990760214405575629</t>
  </si>
  <si>
    <t>676134789213618314621594347420996392935347333</t>
  </si>
  <si>
    <t>423213363606910884156501966398441051219545534615527753346156562802474357678893912914947457</t>
  </si>
  <si>
    <t>661909105365412640343113217143854252402992463573</t>
  </si>
  <si>
    <t>30334770380952130350984312929584450719251477802068567139598913698302420831875387281533732781777</t>
  </si>
  <si>
    <t>60434131551231901211910786607015770776023113525397</t>
  </si>
  <si>
    <t>2032495507637430007522955859714336978236993713672629947215141876907439766853113673394703166352944473</t>
  </si>
  <si>
    <t>33368477289290144712346492746063577562312375979671</t>
  </si>
  <si>
    <t>1683722612643072941795467218285266618337768528127389148319489983647621095088210332519817173589818837</t>
  </si>
  <si>
    <t>95178490070654028326224277231424298437748610988347</t>
  </si>
  <si>
    <t>4713951818524346948398418905711897245745135725765716127537200521426793716963183292836093583284857047</t>
  </si>
  <si>
    <t>26373657154519703495467903190986199288207216598364477</t>
  </si>
  <si>
    <t>136703441137986342887888896648127849331127342588796675718513548821010374562549372733157168929031278785983</t>
  </si>
  <si>
    <t>787504181587550464154624004311442229485490734854213686654733</t>
  </si>
  <si>
    <t>307941642614504714455555413263409595902775829500238373851743912449957328662462833778358698156502436499417915470376462937</t>
  </si>
  <si>
    <t>80187941821577622661278460906536253193416727571212198408684103307</t>
  </si>
  <si>
    <t>3131739377051862658405291693523567051115454415164781471849709420564920768859133528571228383134587862463538746477474202351233332889</t>
  </si>
  <si>
    <t>40443854955336284016669085087868526862965070463608917456137331467</t>
  </si>
  <si>
    <t>1035190342334845975950766795073110670193835592571448915206110492020642830871923950309705315384540115333989436275751145837998828041</t>
  </si>
  <si>
    <t>4215679017278018765997943950511429410783399918686669350463454986957227</t>
  </si>
  <si>
    <t>13952013649488424409965114048808966747649747308260519713127930488858761111087331868673769381015994755595643941919136024272828336752889491021</t>
  </si>
  <si>
    <t>6081328175180072584598594650763208811379141547752947585333185586973389</t>
  </si>
  <si>
    <t>21112565800036966601626086270757193776823694451698801632090993180051713287833445181080945637503400666776114380772486694295253544269388082153</t>
  </si>
  <si>
    <t>5504365538518185380152487135849668002242555405970249632844839620375694791</t>
  </si>
  <si>
    <t>3156086328768067953132226727585718132520168963883581429452962283399518779</t>
  </si>
  <si>
    <t>396753956355288603294943098885733936154486919009944274650989153872094999</t>
  </si>
  <si>
    <t>960296375216960730437831300096099159721727963787214079273975852092595499</t>
  </si>
  <si>
    <t>577988609559508047991906271856660071334424434265618285938349718343915199</t>
  </si>
  <si>
    <t>2183878804632798771721806557527261562473157177141394798899455029707621833264704539372272846357754665019703877628303393416862603666303951381450209</t>
  </si>
  <si>
    <t>3030778261387780666360920626519899156385462909993622579231749567622899252371490705309414631140107441806702066016872777539268494526082565701375721</t>
  </si>
  <si>
    <t>397833847217085283756022037651922965818626476239189124785980564136305136423</t>
  </si>
  <si>
    <t>8820215057325449315903887762496100261826759063779964729532672241683193853</t>
  </si>
  <si>
    <t>5625780718270216462425318393439907664985955845348774218189278328215950109</t>
  </si>
  <si>
    <t>685484481257337784299970537946455527688324324510726936159262348532466973</t>
  </si>
  <si>
    <t>401244017956650337393917014887558010984693194014282112820229808612367167</t>
  </si>
  <si>
    <t>5097983836999373019992271490161777364490287389479520441154625283353349557107962354885402864820149606991089991856669198496465053302135162910071747</t>
  </si>
  <si>
    <t>3856385377330992494500429666256073412992286834583716770586353510370918707785474299136305953078308787077142673811292573695309461889843376858250057</t>
  </si>
  <si>
    <t>4013299245942287315420708372484134561167259995248375088660511349414003821</t>
  </si>
  <si>
    <t>1610312314704278390300992974021185713242459617869682434598609536376541064839023142184387451513303410118579841624971326648030378422096997992945107</t>
  </si>
  <si>
    <t>771084697213156271118026802882302555988928492362825925280898812010675442649</t>
  </si>
  <si>
    <t>142601998128808762061876672519457820515828444342126700968161432157939352283</t>
  </si>
  <si>
    <t>924012602285988251684320569173965240723741681979595020170200204155190669371</t>
  </si>
  <si>
    <t>653088940251013414907234914161371710912630576242853882427834653253649585233</t>
  </si>
  <si>
    <t>515347166655253367896633474679428039835889356729511081447874974318923159107</t>
  </si>
  <si>
    <t>715435841196291738444165580073124339516036614838515823265094441019982192193</t>
  </si>
  <si>
    <t>827616836537334609297605842275375821058268272144347618107957639116546649429</t>
  </si>
  <si>
    <t>475129535985335939856659011575277361152190778118216015931647151544832928647</t>
  </si>
  <si>
    <t>378485068741886648501678654885496779087354199041509432476825267314877139399</t>
  </si>
  <si>
    <t>306763591622531278645503958467965138966831490355945005115667968033522873344367448957426827032659703748172994273174520749821325077384421178647857504527</t>
  </si>
  <si>
    <t>131766043382182211524742320278208517994152963531708790496355823895650101931267988314028937234403827863036047812019184396606795053971078804820947023993</t>
  </si>
  <si>
    <t>336567534932241819635945436961421376797711971211049703191804571507855332134518983330570950390618249046804456642587841286089772829442520841688616666931</t>
  </si>
  <si>
    <t>592106747636301861710813279680264217085963790186341642148237196908911578779377063986730042025851495983014035786087190406766059515333094064340471707797</t>
  </si>
  <si>
    <t>179829435088710579255810100332561565540520978037558031897767607323668130813297045971595456544631844537274797424882466290891587169161360020746839463153</t>
  </si>
  <si>
    <t>77053213324923452402978396150629855414755356486383692513748570819895618785997</t>
  </si>
  <si>
    <t>21194115903595338389877249948082607721038850598918945040885448557919307301027</t>
  </si>
  <si>
    <t>40769570439284530520950593342766243004001608680398954098425572365646694556261</t>
  </si>
  <si>
    <t>57043509595490960156454153066567303541131344762643260897307897101941734779093</t>
  </si>
  <si>
    <t>354277460691479666707919131596521095128067279368524207313931367790308366133697</t>
  </si>
  <si>
    <t>780412702699676331279642420099266306056834914952289531227087232099881512112357</t>
  </si>
  <si>
    <t>543710370637921017984340754213466331514560835711158621370750638124555273620471</t>
  </si>
  <si>
    <t>481451804572008619297108221098695227852395306189123662162586892306070566908443</t>
  </si>
  <si>
    <t>963528467420498247366028584018156234250594224253886391546046826391115916222821</t>
  </si>
  <si>
    <t>51374447396812374501159600324139647293778062712154479720355983067789563656743</t>
  </si>
  <si>
    <t>40093271342648696247606523909878266680328071240875245041957973291892938945142796987488361774571931615201008893759384960171670471827823310779371839196673251</t>
  </si>
  <si>
    <t>41894631175736924810900511195950871632552973287078687326916881573289440891279178453807921565388939025424066134059729048611789957980195330671239395947344587</t>
  </si>
  <si>
    <t>10203945348094282729035310047171423741783888609397016125945810542740067799853089371839376432422573351159408872922897337013970332804234050339155553748870961</t>
  </si>
  <si>
    <t>39282641722755873185251229743493481486118299812645148235886081897244535786766513577241467782885712921506101087656027311349987988668275811415996677796632281</t>
  </si>
  <si>
    <t>20209229728420591820129855965936679570547182942917222368253675616106169837402331292372412596247085118982569349979188086118689167522190269439663906798396821</t>
  </si>
  <si>
    <t>98989614766164697743363577511553287703989365385765342632495103659679528591100037</t>
  </si>
  <si>
    <t>76024972975806658070767469384388412838088004459102266030718842287457555714103301</t>
  </si>
  <si>
    <t>71748359605645902369961533094333904212827624466628512250951294324844197975526457</t>
  </si>
  <si>
    <t>89113832406758320144855877217025376331864593189709667972947774007438428905703047</t>
  </si>
  <si>
    <t>34862587328990098267176417998436641710969989282559123079320430828187425131300207</t>
  </si>
  <si>
    <t>96456330725611797428140751844045343517462867300129780164960619553248363734478149</t>
  </si>
  <si>
    <t>99691555335918103419624226543170261275329396414894223935225135089479783459288813</t>
  </si>
  <si>
    <t>18823750939977928257135837595988783068531207139081305220648183909961748707510319</t>
  </si>
  <si>
    <t>61070200912112779966277915992438855098352448252413972086121382168407279406079047</t>
  </si>
  <si>
    <t>99219722148604584665293353727065493757654993030550258646135564499964426347569171</t>
  </si>
  <si>
    <t>8142853061669773141065334247628960684761129257995428786571338781060327216318697113341</t>
  </si>
  <si>
    <t>2582210035362541214930802186776338910441193934856169988213693963210541518687096824527</t>
  </si>
  <si>
    <t>5650080842861965991275172711608645567341202592563289095448897498067342392213857641343</t>
  </si>
  <si>
    <t>8337257715330001249079123816533478165708362299443114361960388072727776216834093353863</t>
  </si>
  <si>
    <t>6691128574607729838240813908114169892245264934899961581933882984036712770881112953279</t>
  </si>
  <si>
    <t>2566864346886767890175634875331440630235917951630775528159664813956070975675479856489</t>
  </si>
  <si>
    <t>5483063067638921196970718443815164492385783991643049341925331467009093595727991771149</t>
  </si>
  <si>
    <t>9346179760279096935519978622586464626100649719588536730256536647526927568218098421747</t>
  </si>
  <si>
    <t>3041038122844127756861911017736756668750621974874940043998494358804506847230106917001</t>
  </si>
  <si>
    <t>21026556892326281903013138542923728091868990906168809279720422866658063465446468447879179794203887740034232034316549528388261177122341905172629042760162393032522507714707</t>
  </si>
  <si>
    <t>47106180099389162376369033849542910289183436782855814722590077932082760516526024631564746716993723947298457134974631844362744464096549381745359614228107795701013437558009</t>
  </si>
  <si>
    <t>17175219378595860626779492282133899330902829661692416991251201653741532091124034931671073960689705892758036660059701582072201056378847409024064362535670692786497881977431</t>
  </si>
  <si>
    <t>51245693067100702378803498206490647931640036704605997855937777565298092552664550287302113249041353241727688639787751932559579639508509009340001202623835402429400108777303</t>
  </si>
  <si>
    <t>4298802272633815242773045831754680368342252060957224219356004258290823600314523191009</t>
  </si>
  <si>
    <t>13072821593648407819168785080874681753789932929439627938808818857676334607706430575247114809114899423529819509899836730746160996530033298325397200246535324031397632444009</t>
  </si>
  <si>
    <t>3609331082932626246230640827849903095168871237762880086415197406694436494728344112578722882390081669</t>
  </si>
  <si>
    <t>7605227653566320609370072541831655889971003134682034921681950039005375655984239679127368203427024089</t>
  </si>
  <si>
    <t>8592520586396753985496748049118462835654479527965347220286118685603155221467346233939950968697229149</t>
  </si>
  <si>
    <t>2260840251871002558129267335225374710871287683253837932370671319172796883949624755492219158009918149</t>
  </si>
  <si>
    <t>6867070746286219902053507577132982175353096659542381119697327034505156497195774429051785620304226383</t>
  </si>
  <si>
    <t>2144545164105236432676667827439643058066709525462963984465882046147933645936667725287159794543879091</t>
  </si>
  <si>
    <t>3733087090391901194455890454896808478353327067946897144435874048976545846123774163261705492150717333</t>
  </si>
  <si>
    <t>9710314342158493906925504799023413326992420753475985421171414236601902475015460879067794158083746059</t>
  </si>
  <si>
    <t>9939320673355229708585227026717075878536161759512185606735772103064742317600431479172543422133993061</t>
  </si>
  <si>
    <t>6649446005745295040598844066973015540746382824100616673226302178930340651148913168478896044396262489</t>
  </si>
  <si>
    <t>708995314677219623163921320992186391977594674002485425443699098203323164095801736736332255883353157118881</t>
  </si>
  <si>
    <t>362739359652624072246039685632853814805559203183478572931731661128215899532553469140024548184021003009781</t>
  </si>
  <si>
    <t>222279337458335792301021333591830115825644977942192543158403327212935798291412995479645859382453644131643</t>
  </si>
  <si>
    <t>961211713156767306663499284313777051424798494714355075056685824784060246418227617435759268414658777182359</t>
  </si>
  <si>
    <t>231956993258881096465502410032464083002780248077958584328628220682841172308424866780644127374897513792381</t>
  </si>
  <si>
    <t>564609864075230954073788288259580097904071021561575188452094882858952219743367830017393118958807273602733</t>
  </si>
  <si>
    <t>303800250692354562634531077938842248229084919213338483522024016819814235271756789330120397371829481846921</t>
  </si>
  <si>
    <t>515941248933491903007456247553947562188240809608537089733429646341865442114983433244196120189726076777729</t>
  </si>
  <si>
    <t>911466664912040641153197848732503656353730975189729667721193763143929288260961844601454741012382876735143</t>
  </si>
  <si>
    <t>254727864873932871688088914798788648134445668467165857358661682956080365667309768220514237462889690485869</t>
  </si>
  <si>
    <t>37221850897883366028026253637891152071757634573643285185415945784699337995335119437645984239190380198840254693</t>
  </si>
  <si>
    <t>85236320199638695931342989109838715083159737119208324504558382045667018912177952245191097509829893149602335583</t>
  </si>
  <si>
    <t>88600997657732162775013963186592277727853936725768871598672402675853716813066493478285133449777049560280911249</t>
  </si>
  <si>
    <t>43175596035176474256582586877690128012832465396450140279972544827545745187879618302568389725722183546862638989</t>
  </si>
  <si>
    <t>37936356543176171794690840608836314347826140678504934800345180914075181056114109894886022624088824295982710803</t>
  </si>
  <si>
    <t>81741755719960970367722702095216732744819920912269445900649386732776161536339135858998617432065571917935691727</t>
  </si>
  <si>
    <t>77462481938100703021955060650268307993183037298861467901870790968320091418726002965856603944496791543257014339</t>
  </si>
  <si>
    <t>20761518363632581584739665762631897908459776091544447969139846345911139132369366872791009349963283444911723603</t>
  </si>
  <si>
    <t>74540333265053030467402654756471244538231833742159517420001394494882039944766110806857855822628354066809976259</t>
  </si>
  <si>
    <t>68284902046160872576694959203359608307916334176423766498408036321018052648534672593099660223141497596269726927</t>
  </si>
  <si>
    <t>4974099778337171473539855078194984479225816569331458813376837430215494517372447824526203318876148307532302894971441</t>
  </si>
  <si>
    <t>4475443977623869129566592378736090016376492624818388276005499176394563934630640422351189843770206645687616508179299</t>
  </si>
  <si>
    <t>9045070224152376645332973641791432379260190517541515887100274879453040697432039695479968588564991972171959971243639</t>
  </si>
  <si>
    <t>3334339300326179757239659185489349455603814155366458839971448580979865717454629971482517329048063939266929809769031</t>
  </si>
  <si>
    <t>6540235326952210679931311509338015375087800287600180105292779785058175098413925714935563478672230049526758643197581</t>
  </si>
  <si>
    <t>2539468427199271057743496368663285353627752653223559444042445019318342137755582945726324611281538967183631830954771</t>
  </si>
  <si>
    <t>6796139335956768379340899206313304749561314941971112638915565521248948195359649570842790215386418434199915903208383</t>
  </si>
  <si>
    <t>2941995890337410305525218787296846205114834971756124704711292325769691353486864171396636428922083362315159274800549</t>
  </si>
  <si>
    <t>5764175165792325675579110727520810299995111270667807106605394049544806782277377331157275168663241744945856371175511</t>
  </si>
  <si>
    <t>6379967683162999195995712659302109883600601613418182216307307089328253130572531210745242454473286203627934177472231</t>
  </si>
  <si>
    <t>397103928314343055848088031143387964331782410339891384645899710517484350710286981433017930702314621112355267783714275002268001907066207</t>
  </si>
  <si>
    <t>770672857976006172964557944469375095728142582469451315399518259314594294497274941977998856951381568050929764952385918976592652416923233</t>
  </si>
  <si>
    <t>730680003536033901197538940002669673413616622487662531861881249669278080914090792561568399567607391288181250071538538663940543742112217</t>
  </si>
  <si>
    <t>349671850498209120295124928916398438598997922132287989378046203664567148220099584865423421376859338492433262699805094848627662488915373</t>
  </si>
  <si>
    <t>489117004989581099841077137307906853252058821337861677817403277256093597058267633051166564809254611189517758090460234674123859041959251</t>
  </si>
  <si>
    <t>414676507031798271124541814475710853465562857181578566860642788650502638941494659627327630394141096118823658205180623814351440556856259</t>
  </si>
  <si>
    <t>846031890176910955392372870331768776385300687716174800126616584860791499984135320001616626550325140336793935167466598411463220151347371</t>
  </si>
  <si>
    <t>776666355066342838853297340550352064790181021209949318435192782614277184872051473788114166971223826079404856258021253474372762801136873</t>
  </si>
  <si>
    <t>74172733183950551148355730087431545720442163057241786050388570297074412844966733190272174477815537162675236566780793625574910528890380286510719753359841087</t>
  </si>
  <si>
    <t>49298349254512452623166629120229802624893545788025634509049531925578251136622368556293716447701821195562103585774711808655095082683439701983163632948947061</t>
  </si>
  <si>
    <t>79500134769031071471501121210438145520255589627471033958897850335711138364435725847861925662916677428253114417556396342451818480771108718468032400053014779</t>
  </si>
  <si>
    <t>73904204062539607524540125326796071903368114662032480046045256186432469600449317884684433858324605467992974991752979355746801952289074945895788983310593641</t>
  </si>
  <si>
    <t>16643106796399666641456532127029167377378988260935524894176386949662568649592432342744154151652854258910657969698202280173460538312626930715866789262338717</t>
  </si>
  <si>
    <t>49187837466440068980147815890921580289591941230193344213023533716823637577458134010554926138820239393508500218716098451102535223438759710394763171853913109</t>
  </si>
  <si>
    <t>83586663931444577740850662070284247634589501639386615993113244129826539359721982514685703668178804278481740644240020663849819301322830559154499370232601911</t>
  </si>
  <si>
    <t>55201790852675989654371330540453385635847608145828935132194756232135986444649515740116316722032317567650058345858264466615663296731324752862334298772577043</t>
  </si>
  <si>
    <t>56939518609971392276419398694032109977471331168458955243588987093266671148784144488133360636546410804684224835713689430384829719757655948583756196250234637</t>
  </si>
  <si>
    <t>96806811618263177137794278329734650765986180568057949358424103229847860395191022386825690268595275553626211338607274009972065915437664774627510728277556131</t>
  </si>
  <si>
    <t>2625744965429525853368835842432511151794581190002136986781719566621803454033955539362371644993837512070939939616669271881816510137840189200154518507375640151507</t>
  </si>
  <si>
    <t>9423671054793033414224143628566508009766843288655699081331861512612336505688278013850392541525246354758973914284418069494861679147197302637224354497427437993323</t>
  </si>
  <si>
    <t>5554210543184681384953134287790223462158574563655519937652337080270671133769978353090943572279302466041199427622030250617221998529339388567650880999758028167061</t>
  </si>
  <si>
    <t>6246154364805254633499822533878641292118951010545359953402395518925415921041639829886064966903285382045067444996511766583007485319156525838685873089597179344951</t>
  </si>
  <si>
    <t>7353746162062133398198913296384652196344689906104223658575781885160473330570468244051632268107757219798771327996981810926183674269350808286048607928366396540587</t>
  </si>
  <si>
    <t>7388334097896552114099774334048669262292133136904446212461644420985503399174596423450410327572534243627790043516589624926815659833593003927725398750619685720349</t>
  </si>
  <si>
    <t>1381694600780113848720099669026817053853918919666698515684681952803367599921546658627401796295958548945222922514089966088985479015771239828772785511693679211467</t>
  </si>
  <si>
    <t>8944060954746769725372593175594949482519848362977321049717558468382232287372581929743343629572631853157577342366029701002044990286343609674720183073828656272907</t>
  </si>
  <si>
    <t>3531057586906129886089223161287849897288141806946897941408489122307133698469289134077789446454941787644065313655108723572111891926176642221180879944912964125829</t>
  </si>
  <si>
    <t>75841978451242088422753677679742713811349694975747237314450947380857670560751674645321214907083</t>
  </si>
  <si>
    <t>66562686663337708593272679803298089226977556189824521825567527822450266756449462730099001565159</t>
  </si>
  <si>
    <t>72977877877682630241959391292985337636393562438929743765848851306062916111386874603924968986277</t>
  </si>
  <si>
    <t>81563291665847039030960093797946407257199881970439627807255228174786382447776256104828401345123</t>
  </si>
  <si>
    <t>39793833244330413142915814827690914734426057764121939893139623056631386748793611396920473508187</t>
  </si>
  <si>
    <t>54105184339439257167462028930157817549556986589101454260843790748627493625099765806578091543259</t>
  </si>
  <si>
    <t>61815820949031068350673726997441757998982432136683195624136162970256760992792403433020181612289</t>
  </si>
  <si>
    <t>61794224104755212469580055907749664834212921983313640975351502286322233515803762283346149092689</t>
  </si>
  <si>
    <t>78444844476428233387735803231911234486710515868049860969479275726478644038349279552632168979159</t>
  </si>
  <si>
    <t>68911830623305878478232875303565282964902543225744707014161008495880312202075192135137166863537</t>
  </si>
  <si>
    <t>406999738596597605642619724637838604304222233963356387951595064961603711468141396333243913</t>
  </si>
  <si>
    <t>487880721324431144029352984661154143282457530123177127774921543570972563598690838359448911</t>
  </si>
  <si>
    <t>688794282714650520580480184154576154147485297323506020754800471432877953254194065996560723</t>
  </si>
  <si>
    <t>412373636532322774366194252041192371929793799759633999711711540905510536924330632004630707</t>
  </si>
  <si>
    <t>699361120421126394007784721777685693374059951708737987815309768800166583454526122706440627</t>
  </si>
  <si>
    <t>955372420822607054999822678163483037338479086586291714280065948390184269019183432696850667</t>
  </si>
  <si>
    <t>656943962926070842742048276349752923891932319398691688648465816884981916300285311123935923</t>
  </si>
  <si>
    <t>374721729578445249996897990873707567677531559390860576765814518532539578039459958488742003</t>
  </si>
  <si>
    <t>824393801883201197994430682723231671856672886057366002473235479623340738419915732243577997</t>
  </si>
  <si>
    <t>278965043247751536198485246716504461404981439603653268601420372893805971284792594434919249</t>
  </si>
  <si>
    <t>4939704123949037449156704765654955365918431522120683411138133038592393631118034999</t>
  </si>
  <si>
    <t>71451675433065375119506648964122127812721075071491347570418859906690492632479671267</t>
  </si>
  <si>
    <t>50573444241640825842665108085322352578735410993493556321409183761900545193372348341</t>
  </si>
  <si>
    <t>99225143306882622816388780918327749576389101172835156769372305478289307518505584179</t>
  </si>
  <si>
    <t>1150156437704305624297894371854518963164586760619216964559574788300889903912033013</t>
  </si>
  <si>
    <t>5165104271304595441425300202530936849746874543077026578596735101079219354546221933</t>
  </si>
  <si>
    <t>731852510914547473702382177441562588702661578221052535264262918464593822479591804013373</t>
  </si>
  <si>
    <t>844822305157075925937256949156086904899580819327686486567673813624839934223595128888499</t>
  </si>
  <si>
    <t>389774033663196798726980697801189689001620706445077007688415913661274474683763226167601</t>
  </si>
  <si>
    <t>217026452978248702562847414611583705211679359668254306194387154781789329190861788999887</t>
  </si>
  <si>
    <t>5643441604690112436866906217183154831538498912369150613805886537461714307048776543295323</t>
  </si>
  <si>
    <t>5103734369761364227466075046626365170726222171828275723054854012849796447587596341993279</t>
  </si>
  <si>
    <t>5787656111657500044829328266744019555494746871056181132877979843491195704977788406581413</t>
  </si>
  <si>
    <t>8939234665852849299513564855177424143670487524883343284339978315104921630962973479746129</t>
  </si>
  <si>
    <t>4869172324398330013163303801151607789756751222641729020196203140689474513993888091580899</t>
  </si>
  <si>
    <t>67305388196420713694746073674441103415032887193045277918065526407127244992782988946354397189</t>
  </si>
  <si>
    <t>67319633011319794293594495674869424515565584745254823452146648213702685269462277296027354643</t>
  </si>
  <si>
    <t>53388026108346840062534750510476275587308798999255134007793394187122847069740221340977444527</t>
  </si>
  <si>
    <t>16696384492666882223361564607912102796382036102959739168591357168936083869520137646576549731</t>
  </si>
  <si>
    <t>50442480651973809695472233513435680946376922273380650725532445393395429976595544429282550637</t>
  </si>
  <si>
    <t>361002173853421152663931899049996835258864429965908731398132925142915241293292492430270718709</t>
  </si>
  <si>
    <t>549316226629260486362548300184465575705233838242719569127892153684235797356126121408155376287</t>
  </si>
  <si>
    <t>955842096676455163192197886798866751012929959430928504281104778744498726312638277018997984757</t>
  </si>
  <si>
    <t>728949062235005846788197504679671347865143525400857274539536860412021491981588894108123978743</t>
  </si>
  <si>
    <t>952799405796030482652170470981106663823763624973017377919075937963936965143244556406071522569</t>
  </si>
  <si>
    <t>4013459751574274958496360339827114555779214335868868392137329439645193058434146752923924486039661</t>
  </si>
  <si>
    <t>5729246575715889134075801915812432290373901556279666355408859214992332819115214368589584989564943</t>
  </si>
  <si>
    <t>2426947892479378296571556907186333868907485915732018793441053433711909790349614277079573595775163</t>
  </si>
  <si>
    <t>3440442790186681743149214490773362680969564925026497962491918777497834721442706549213527885800433</t>
  </si>
  <si>
    <t>4998810328829245647130114927153946333430408517976958802427578840217539126646374227508413468043339</t>
  </si>
  <si>
    <t>50908861414673031181144479691386228198144178065894122814174864107919425020756267710298007806586267</t>
  </si>
  <si>
    <t>50084502507109035984722343012640658071985594920626863139394896325600861322332631102816162296153883</t>
  </si>
  <si>
    <t>80111492449396344527198312745422270358216021166201287186840048176314573314213949896074314147859839</t>
  </si>
  <si>
    <t>37885495041448054510304912522436881886396782323175677153692673079575647474418834669221974312468941</t>
  </si>
  <si>
    <t>495367735196570064207151638107854346467613090710478089127506006315957499458197487825429163440822287337</t>
  </si>
  <si>
    <t>529844232787373330707666657188229611216785032946557723344537939170222832720522959865674086521481017317</t>
  </si>
  <si>
    <t>288343877436664666008324236627763322828865923399216381424912460140961347752236829252066156660185549643</t>
  </si>
  <si>
    <t>492169857274365976582505638097731547011193689137082198441838325562652067100522645060737419270598847493</t>
  </si>
  <si>
    <t>3128766034804364958840408785514666923873449412472246312456878298656065836444853527659705334198350866993</t>
  </si>
  <si>
    <t>8420914131534766158798948562928844359332828049899616529446262966665005519182399420456910929489839519851</t>
  </si>
  <si>
    <t>9161911143342646786882945331033846523067385434264957904556472120857536883832297742092417109733020794229</t>
  </si>
  <si>
    <t>5259003322749929321798966828591324068842568191430886460192035859548227340607267193412801208651070191461</t>
  </si>
  <si>
    <t>3735180813550729885208533289699896646433183623995947686229268084197895612165379511132612449449522273583173912998099375974917241249200947583964531293165694496284557366792120067</t>
  </si>
  <si>
    <t>4889540977706928001155342450618134804541472431191621951233668883868297851459190625047535083458096093035547167501083015069274556739365569703173875561706993150289103615042869087</t>
  </si>
  <si>
    <t>3484281553571344269475487761613793833592503024269860124372527429595360313225524929489204924199546872579034063334725790655720564221806050041234253500172311345830144231084966529</t>
  </si>
  <si>
    <t>1056739198504024106379535440992567415511943435619916002079116565746764728115537325408324081499016629779725444229074101372646816042627008336008826845448684031615912013962358413</t>
  </si>
  <si>
    <t>998336463826687537575048877223332808522215075699015284191382160408389363612611686268771</t>
  </si>
  <si>
    <t>5634053535438733904923869411754404068323242081891095892691202409464834172117459945670677351548249907443549919901081921661409898016434733735905588734993979294455539262605258033</t>
  </si>
  <si>
    <t>198567326045362958800336752375545810031680391026705921092498815438276357027048361764022219853914265107410854277224290562745530703818724142208382824303331883780580638373011625228743</t>
  </si>
  <si>
    <t>284040603185713269183300966890658503707966787078244263335872480479996977234207894628233891030497406634194674794895562175375792469025370290184780755391680081808080157735671715921161</t>
  </si>
  <si>
    <t>668150326645942333820089919243026085122139340916053229136266482040622112031607547211345072858228146401801986517407036230548273021818974979090270278470333996457015506998860120848209</t>
  </si>
  <si>
    <t>246171178023775280237511365094424636022473768716745140524150826034941020863413921179729376729959508982305653200241262356117575550477511684134559470035712289807730746461858250673769</t>
  </si>
  <si>
    <t>229977052595525534025240665724910291584015279783076056558738405987392494940401914520349943118267305466193992995180985527711770841393048292356125601323543594573301517616245528164253</t>
  </si>
  <si>
    <t>24297391450956270441096953239270549288041424555506415911808888013801176617524641851679097650957747263799227598065442264586313659809565976784183031615825657020251187736714111933479309001</t>
  </si>
  <si>
    <t>36979766783844789690905020114395921390166153162146903783696662969346313992020335346395848477541989899238729861320772960218162085174138192531930558137174781915053769814911627558861550541</t>
  </si>
  <si>
    <t>51030522812819572613981070154194576640343241607939634510258026854715605169092807075959072745731675014130566988304086749224309999191666368281806111275702943046357195770055569604759074939</t>
  </si>
  <si>
    <t>12170813818644617651184397055165767590957440340172961304748308750812828342966070063628573727165788736101409541034684987918050346772269083381069371126363741266767806297164423836926368133</t>
  </si>
  <si>
    <t>48061565592078410172992657633138731377033979938181116017394016111586232865142019784031305157360684281110342714515931534303101436847180486553068066668452438122025831044833657470430826453</t>
  </si>
  <si>
    <t>5048245847577637642695278787577063470062357938181870964234130315644128925719406552995693732414248901400833021242442871473980112461372125129097899628313320976900171797219357988698619755121197</t>
  </si>
  <si>
    <t>5952315938491994675688319714821275921574305980469391530736846706598637399231262435671104926665442484883217597364018919822275211514911237797867471497980723072745751632365585648405924527877071</t>
  </si>
  <si>
    <t>2153052683257403156194849411500459804963340095450082468555334026449782354936370424930586215681940078127379434173996471318715689126443491839438971040362925900416666134246610984162848601161433</t>
  </si>
  <si>
    <t>3819860692943847878118110253885532055942845050442435522040226342633474623014310008772221243138837805703215103299682381285819274238656039932967084679450295218924607740474612143906838522455121</t>
  </si>
  <si>
    <t>5405777835831194124884427599665772026352593837908982124517005981331957827270281216670473536478064199781466860339370791826744433278403969631104924277909273435411863276479896845985627150025383</t>
  </si>
  <si>
    <t>204320666286262815746699674674498550361108904363273981395046046350309516927838669931183498480297728725343252487495447187560105934497675601655399079573765087423802479098256129037117440250779935487</t>
  </si>
  <si>
    <t>121552477805506413393765835487317478531461315394377266774673137107784065665075357970914502787531383772014008121065100030970669421682990608998629901868078169766154607162295667348294957492917407929</t>
  </si>
  <si>
    <t>275619006608620446437693838430249812422957973906619539733818752502991985066310699781076592794543195664394056862213159009344923168523846949884546710250910969886574980031756719368151194424409510287</t>
  </si>
  <si>
    <t>189382403925999704814109531353092290892510127535662980253428199166571772565242612656432844614115261184377241274039061396783521983820975306677613615528154913706988669513148898122268080825479433999</t>
  </si>
  <si>
    <t>90367731339521785136448550288980342207530316709546936548419511260232534123367120667768281922476901</t>
  </si>
  <si>
    <t>517739015332168626567928722305481039782377016342290928073567469155962492949299579337850303947931060777447951203321026340433244559046651101092712419765346873107794210983146546537027022968956881643</t>
  </si>
  <si>
    <t>27449784562795684042051605369782496201559014250444931147511252718846557653632731073172209295837928637656392578355496765490654278108624836942060944342508227290114225782443006397791877839849574340324541</t>
  </si>
  <si>
    <t>19426316406756011877685683182389790780729485021093725747652865207547318029515527444637941203423202927586489364611715931425082587796322800166211599677306585783644858166096293754223274414069996586925201</t>
  </si>
  <si>
    <t>14726743360516649879066868219801219243578537969051156283377297363492501201827762147979586951192987251362915936194074353499897396689384863898846857872737510731410093124989788622041695569578890644257853</t>
  </si>
  <si>
    <t>36249449114359200127021341478970818455227509337258778222942896147684792304422226550778818660505585191581072242927117887546276825829925340358975246836442218504795428932045235312239618273018624661740647</t>
  </si>
  <si>
    <t>66090976151263568536382568129672120686789943336154678099031564581627178589942934059692467452030905766427246565036614382292510060221700894712695995861579079621040758192531861892582279751744465860588829</t>
  </si>
  <si>
    <t>4461772787391388364058205938889705780652936125881122928630444687420329638490039047420436926879302376892066287086803527812023712202951267117115787355750511963773142776640448440610164216310849812970296259767</t>
  </si>
  <si>
    <t>2641780983801604383377082100999288032282623287504928660042722155181611492879560488604320845755520942201247624978457223308196537566025409678313907894148436902436039093128168002827444201882791748820767410247</t>
  </si>
  <si>
    <t>2588322914763249143566830935358465112639761290924815216525942012892441072626405946398198960593793462729648231089438550054426160015773995440091342204988024686559062156166065864675337815873994149393449857273</t>
  </si>
  <si>
    <t>9632535008962968698225089038812359638602037859703465310608960214215065237328394386397571635737036367679</t>
  </si>
  <si>
    <t>4771647051591658528105147614207842538342913560265993603206266470600291427206115370527983726308117737202062154128577634648007690477592135132070140498255929079471613336914440267496767674750166122810917780823</t>
  </si>
  <si>
    <t>601062253034147391856156670912184878350866799142194909923504636779080149496797497807837021471462448151</t>
  </si>
  <si>
    <t>1880583162096227216211566543239884080678594433415288088156972303665464934292190880622743313198343317628463677290036442972237218774937150496385544999627031192898983308956495578560774521820470632393159779943</t>
  </si>
  <si>
    <t>257180506442725347476711792349032174159831421093713969518730698314035039140898594912649927725926986716725308743346421657316399344264476925486434105843685014121928326791607324050833554058659061816149087422775061</t>
  </si>
  <si>
    <t>213657502757678146107167298435100457077109864986589051841396963391418795828431681975158786809124747734091410706683054307298972380098513261414626059602924767333846645882696294170281082783191923269177470813285837</t>
  </si>
  <si>
    <t>130965206435196118574511099762179351808552482306275864668210364447558411620128304955919387610148271229470554506989287023288603695345180789705659671132226294564217784556819719426487379615620912764817967636177273</t>
  </si>
  <si>
    <t>156743080768521351257102470347106171577997292639944296355903220913025494640120162046390185878683037109540260037091597611967752986378087112487376890559830449502556995713070138141661438264669206045125099320022409</t>
  </si>
  <si>
    <t>232175957456808540316689333103317885908664894234868694782716147769435140956433688126241181125761668287429788450466687971754920620378609438483394255025206866798967065102238380334919482855519265075011312097194267</t>
  </si>
  <si>
    <t>3172653601555195682846298054958377230728082168351439113559303017837638064980804930861640153595496107942468083191659977589870184157444972163450899585051487363702762261132408894410831022067633043802193957195898991376641019</t>
  </si>
  <si>
    <t>3825400883183860849394991270687309522033370157953288277160343434486839636989984178507959887100099381712339306811568923015951593676614471654056966603178963705448938957257428068456942467463700799275682074997728789836087261</t>
  </si>
  <si>
    <t>3100984389457649625720552055688104774019883845105492946964630516869988053439564939698868592474594367848674863071736296979829018456589976589292855641817234946793289309479901510480539444275302117149023449116941184400626781</t>
  </si>
  <si>
    <t>1608238741250434914715801062298570989974631213581125812380933804538246413758513630173079601206701389342631511397265297544624596661915158536675925691815232824518492318667703307478965989294336994335373868387518984175743417</t>
  </si>
  <si>
    <t>5089979355492333035942093938497933431932111674775140509959268503750826367993188549384038259973395360665185614599919380246494206105401589665947593170171858574038459681145833431333479003380983198333683791974180953283026093</t>
  </si>
  <si>
    <t>22261304897059316445558750540160279311860621698881701732361053784010523949644806940507193683193302898243517789818535945579071721624564408979591034290366106658363533482217214985958948295220962881802408720150672656232396913512399859</t>
  </si>
  <si>
    <t>30159333122601397446865587507450806004747461928868545993000950793479163568743950574242201251911706249656485260984251112410174875577211076570763792459266927955012870291698274607158821427124855936137894939645950665105599380417943809</t>
  </si>
  <si>
    <t>16608721119248440771030916933134510299484041028156900926091716764247443581574786237679066965048336013994199898886804508617273527123968920593006628190021959780247338119254017848769074680807476642028735501112611874228727127627608951</t>
  </si>
  <si>
    <t>19994213996545229239440017119897380669651102090177800369068166370712948073231891888819668763481297326235866905745839527556844280186224721994778752670104790381852796775035388205290835904282586944406136243620541220162733391509802267</t>
  </si>
  <si>
    <t>36775251277845760817208471556772871359959947113598747180241209001922367720343111331515302653594169565800224813487414272361832177723240733784716611674154612124591235622598031996160107536585020588021590278641790226560722356029735041</t>
  </si>
  <si>
    <t>563115246591033542997697170506237807749634933744416875154168729980304389753634956406718406253837928883386328272379214555230568066955483638287816208869709532805319131582189995557594860642211659578340999434217816761231355885523576672788986407048253857172098368827760437561</t>
  </si>
  <si>
    <t>202825331158934137011598693697954574294382825004764307458299902866774750354813816352076148158910262153113837889209844257569734912594332203111051848802667630434793863838407170381832640159350883684317860644810025945948605420685932116346222084905478864605721920192542302009</t>
  </si>
  <si>
    <t>657084504413589894238919188764229561320370141835545727168071796162970150594736528709768060229358960864125843663671618644493042041187309151412565166176117724638138645122230982970057503336853727006041971800460508364043250950850333794354723718616491590984949269721539710883</t>
  </si>
  <si>
    <t>812604054735890048566717574981920361938168568739583702395327664195604421791163081254002795665295269335890401174251532935632237231162841</t>
  </si>
  <si>
    <t>322688262299785382622180987982610336088610292134573409044706237070467858421530329838360655240047980926241589054667195677161135397867066288747597990908078732530835990919717232565543517152196976606231596440023573987684500669782953703662001068571234787298126745901385214087</t>
  </si>
  <si>
    <t>828301278631331254742500160209296829233043378013819324774419956466939837425446794487779987395936773820001887756208211635918436080556263</t>
  </si>
  <si>
    <t>289633640869050319174874009476871614422120651059375512264108001044140763756015885814559214157978818733457381325650172254593150418382982460591758405502095946697706846392694218372262553982041724156189579365396579936763246532616717226762740127901692380629503048929372131099</t>
  </si>
  <si>
    <t>7180425808550398913667877528050838787964976451293525486658874277398075942202278284380599175307757934351392355399965008798238073389573978893472964571946331182953538015972477905280655322250167858110939045451839390504589622261615596046743919560129759413013579645671764076387825775988202695170529235513078882554397</t>
  </si>
  <si>
    <t>3919225409624502437184388490343552537874632873090206616963485027650044218948542890269769921973936037948189114861979554708826337943505791129449390119599187689948584120947662374641017727913646971280051202842714325368478987542666639184348484827446593100098875255059235249930284295886525139855850154401946721614519</t>
  </si>
  <si>
    <t>1229995560915760796038039898946951542014839495966868741910476902994652683363371685510169297739276611345866818059636849279257524087150566008219463105149743138201916839407995384170020012222830364143615737992817521125641483331738845944781740880546176216072250074571974872760566162829306990627087050924297288298597</t>
  </si>
  <si>
    <t>4111447239821844354454232876942768697456281036222951991765662265600158074935809354500488224633070552674315940330159472259403861423554058884007562849396374219726126270627123406931636300775658442001757864776730513723499120160112097457780431598927447175634896351226095520113443601369505774157716540882931981351299</t>
  </si>
  <si>
    <t>3143163397559693083651376322776993783559094914271859559929545292817234156050990398586600666640010945732495825072191401347895697730768706798283396089872704284645069069569477903475417783457690712783048238819413230877617841757828433702824510869429306059332199205638687626512460336335730910629741964613789909638391</t>
  </si>
  <si>
    <t>24744156827986756956152979582148925636643291610903128498065488928808127856436358065239962966334132393624131518163833345346395465717927407764876418649504299281775988359193671577320463076475301447017671068359791115008495268729675066248554231561782529701919851464940711153844870370552816198960566952527265578311699774387761</t>
  </si>
  <si>
    <t>45932633687834283934892361819256558574520341328627387425262075986936728387983771490602001323714613159700304401175714131113166913374307052104751748672330613327888305705773579519818774858077232378775892998045024162450013360599120172683619536987694990568037991617527686051501641614209007884072123020804589380871057145026237</t>
  </si>
  <si>
    <t>10208421331823279163410266972791406595559903803724644522128206161760191432008900319354464164001780803094446511351961507532972533268471210333586803469403152368051532116048464838545875656979617406622858475815256062970885215551652940438911508849135751849900523854450258899472560014616818027779802720269315631438054196041983</t>
  </si>
  <si>
    <t>31581994292009464881871790812430227371864296391800980316344983828136307682194205401871370611770494934658796346536605303188805490392039091801181153841712866454387100670402655538152533720856705406042913208737070259183399098417912948797015103998034442777196727540956655097595231080680981599839048798866488219532256511614903</t>
  </si>
  <si>
    <t>9948805464947434864512922881487334156269276302040385565001187708866828123490178609476755132670852884230324221826330736373843002257887113252583567263398591365953</t>
  </si>
  <si>
    <t>55257760205504418837179256197327146296272548299308054384476903038083784733195425739735521847438177586371229768276934082229938820387346831046002325691109068117877179335939664402565326296269230768402633047423870323202120459101648505759109409824773992733265370999702805395528472377382810637539375958218101233629692871474133</t>
  </si>
  <si>
    <t>7525682787483182862011548881004386028544165979952643524228438967724902871782112341673834494708659845832221992229705626481755261552139404861697365457950642922137</t>
  </si>
  <si>
    <t>6393771293357357421626715239078909441868083758230039446211086244745574353268012146138150548667701719555595878982487989955207121369169912720615219195139534014479</t>
  </si>
  <si>
    <t>3362717253355592139975226491790120218511546676500669670668839647023174899163400520735363706471678595716987186660261641254961749051775845194669619824599000676843</t>
  </si>
  <si>
    <t>1876569008462350048633065947008262643453873461696301284778087431766726030441192192891922013248408867625230837200681859326021546694226891928649253657475598761347</t>
  </si>
  <si>
    <t>6059368366059288302871803205086606517260868125636302073148758613544579652526837396920121334908230930633835734431111760338475543941326250056940137518288726260037</t>
  </si>
  <si>
    <t>114124437356543341538514626362829195695463325536255183109726213456745277543506229132139006079950306896176062480393088323634157696648189129080998202363845833098501327</t>
  </si>
  <si>
    <t>95982042809733157343704658372584260190163483446797011478126455849542408564221275501</t>
  </si>
  <si>
    <t>474122892692291934933504420599129153521889783068935890325625254539876394167937180873741374354918105982662427370382915745475952473939778636106922464824183820539259499</t>
  </si>
  <si>
    <t>92658479988516665497323914774229879616264325265408692830785524697476464516687334593</t>
  </si>
  <si>
    <t>478590710761278810528805670239146511066100818990070715748096207474816790781400270247405667952103422423802098135335312819431962589248187705665376429750179580006228269</t>
  </si>
  <si>
    <t>9395485960124368984574605395960878457708265540807766519272061459996504077921061629</t>
  </si>
  <si>
    <t>9659770591551535434346648915793538144577449481506038536219319696147393428196604493</t>
  </si>
  <si>
    <t>671323213358729024017222661432534617724821605918623743204379237692558049303905072739829482208865687713200059988467009891533859411954182529123986733069479885567513943</t>
  </si>
  <si>
    <t>488527869398873393596148607511995643505963085879921473772135252834605739284227730523118269077322604180046579373795410256431801357092408199126587042556660453801696113</t>
  </si>
  <si>
    <t>Online BigNum calculator:</t>
  </si>
  <si>
    <t>https://defuse.ca/big-number-calculator.htm</t>
  </si>
  <si>
    <t>Online integer factorization calculator:</t>
  </si>
  <si>
    <t>https://www.alpertron.com.ar/ECM.HTM</t>
  </si>
  <si>
    <t>Online primality tests:</t>
  </si>
  <si>
    <t>https://www.dcode.fr/primality-test</t>
  </si>
  <si>
    <t>References</t>
  </si>
  <si>
    <t>Execution</t>
  </si>
  <si>
    <t>Parameters</t>
  </si>
  <si>
    <t>Job control:</t>
  </si>
  <si>
    <t>incr</t>
  </si>
  <si>
    <t>P</t>
  </si>
  <si>
    <t>- min:</t>
  </si>
  <si>
    <t>- max:</t>
  </si>
  <si>
    <t>- range:</t>
  </si>
  <si>
    <t>nq</t>
  </si>
  <si>
    <t>nrkeep</t>
  </si>
  <si>
    <t>threads</t>
  </si>
  <si>
    <t>Primary:</t>
  </si>
  <si>
    <t>I</t>
  </si>
  <si>
    <r>
      <t>mfb</t>
    </r>
    <r>
      <rPr>
        <sz val="6"/>
        <color theme="1"/>
        <rFont val="Courier New"/>
        <family val="3"/>
      </rPr>
      <t>0</t>
    </r>
  </si>
  <si>
    <r>
      <t>mfb</t>
    </r>
    <r>
      <rPr>
        <sz val="6"/>
        <color theme="1"/>
        <rFont val="Courier New"/>
        <family val="3"/>
      </rPr>
      <t>1</t>
    </r>
  </si>
  <si>
    <r>
      <t>lambda</t>
    </r>
    <r>
      <rPr>
        <sz val="6"/>
        <color theme="1"/>
        <rFont val="Courier New"/>
        <family val="3"/>
      </rPr>
      <t>0</t>
    </r>
  </si>
  <si>
    <r>
      <t>lambda</t>
    </r>
    <r>
      <rPr>
        <sz val="6"/>
        <color theme="1"/>
        <rFont val="Courier New"/>
        <family val="3"/>
      </rPr>
      <t>1</t>
    </r>
  </si>
  <si>
    <r>
      <t>ncurves</t>
    </r>
    <r>
      <rPr>
        <sz val="6"/>
        <color theme="1"/>
        <rFont val="Courier New"/>
        <family val="3"/>
      </rPr>
      <t>0</t>
    </r>
  </si>
  <si>
    <r>
      <t>ncurves</t>
    </r>
    <r>
      <rPr>
        <sz val="6"/>
        <color theme="1"/>
        <rFont val="Courier New"/>
        <family val="3"/>
      </rPr>
      <t>1</t>
    </r>
  </si>
  <si>
    <t>sqside</t>
  </si>
  <si>
    <r>
      <t>q</t>
    </r>
    <r>
      <rPr>
        <sz val="6"/>
        <color theme="1"/>
        <rFont val="Courier New"/>
        <family val="3"/>
      </rPr>
      <t>range</t>
    </r>
  </si>
  <si>
    <r>
      <t>q</t>
    </r>
    <r>
      <rPr>
        <sz val="6"/>
        <color theme="1"/>
        <rFont val="Courier New"/>
        <family val="3"/>
      </rPr>
      <t>min</t>
    </r>
  </si>
  <si>
    <t>purge.keep</t>
  </si>
  <si>
    <t>add_ratio</t>
  </si>
  <si>
    <t>maxlevel</t>
  </si>
  <si>
    <t>target_density</t>
  </si>
  <si>
    <t>required_excess</t>
  </si>
  <si>
    <t>bwc.threads</t>
  </si>
  <si>
    <t>interval</t>
  </si>
  <si>
    <t>interleaving</t>
  </si>
  <si>
    <t>m</t>
  </si>
  <si>
    <t>n</t>
  </si>
  <si>
    <t>characters.nchar</t>
  </si>
  <si>
    <t>characters.threads</t>
  </si>
  <si>
    <r>
      <t>a</t>
    </r>
    <r>
      <rPr>
        <sz val="6"/>
        <color rgb="FF006100"/>
        <rFont val="Courier New"/>
        <family val="3"/>
      </rPr>
      <t>d</t>
    </r>
  </si>
  <si>
    <r>
      <t>r</t>
    </r>
    <r>
      <rPr>
        <sz val="6"/>
        <color rgb="FF006100"/>
        <rFont val="Courier New"/>
        <family val="3"/>
      </rPr>
      <t>opt</t>
    </r>
    <r>
      <rPr>
        <sz val="11"/>
        <color rgb="FF006100"/>
        <rFont val="Courier New"/>
        <family val="3"/>
      </rPr>
      <t>effort</t>
    </r>
  </si>
  <si>
    <r>
      <t>s</t>
    </r>
    <r>
      <rPr>
        <sz val="6"/>
        <color rgb="FF006100"/>
        <rFont val="Courier New"/>
        <family val="3"/>
      </rPr>
      <t>opt</t>
    </r>
    <r>
      <rPr>
        <sz val="11"/>
        <color rgb="FF006100"/>
        <rFont val="Courier New"/>
        <family val="3"/>
      </rPr>
      <t>effort</t>
    </r>
  </si>
  <si>
    <t>Top</t>
  </si>
  <si>
    <t>Factor page</t>
  </si>
  <si>
    <t>rels_wanted</t>
  </si>
  <si>
    <t>degree</t>
  </si>
  <si>
    <t>Length (chars)</t>
  </si>
  <si>
    <t>Length (bits)</t>
  </si>
  <si>
    <t>Base conversion:</t>
  </si>
  <si>
    <t>https://www.wolframalpha.com</t>
  </si>
  <si>
    <t>F6</t>
  </si>
  <si>
    <t>F7</t>
  </si>
  <si>
    <t>F12</t>
  </si>
  <si>
    <t>F11</t>
  </si>
  <si>
    <t>F10</t>
  </si>
  <si>
    <t>F9</t>
  </si>
  <si>
    <t>F8</t>
  </si>
  <si>
    <t>F13</t>
  </si>
  <si>
    <t>H5</t>
  </si>
  <si>
    <t>H7</t>
  </si>
  <si>
    <t>H8</t>
  </si>
  <si>
    <t>F24</t>
  </si>
  <si>
    <t>F31</t>
  </si>
  <si>
    <t>F30</t>
  </si>
  <si>
    <t>F29</t>
  </si>
  <si>
    <t>F28</t>
  </si>
  <si>
    <t>F27</t>
  </si>
  <si>
    <t>F26</t>
  </si>
  <si>
    <t>F25</t>
  </si>
  <si>
    <t>H27</t>
  </si>
  <si>
    <t>H26</t>
  </si>
  <si>
    <t>F36</t>
  </si>
  <si>
    <t>F40</t>
  </si>
  <si>
    <t>F39</t>
  </si>
  <si>
    <t>F38</t>
  </si>
  <si>
    <t>F37</t>
  </si>
  <si>
    <t>F46</t>
  </si>
  <si>
    <t>F50</t>
  </si>
  <si>
    <t>F49</t>
  </si>
  <si>
    <t>F48</t>
  </si>
  <si>
    <t>F47</t>
  </si>
  <si>
    <t>H46</t>
  </si>
  <si>
    <t>H47</t>
  </si>
  <si>
    <t>Back to top</t>
  </si>
  <si>
    <r>
      <t>r</t>
    </r>
    <r>
      <rPr>
        <u/>
        <sz val="6"/>
        <color theme="10"/>
        <rFont val="Courier New"/>
        <family val="3"/>
      </rPr>
      <t>opt</t>
    </r>
    <r>
      <rPr>
        <u/>
        <sz val="11"/>
        <color theme="10"/>
        <rFont val="Courier New"/>
        <family val="3"/>
      </rPr>
      <t>effort</t>
    </r>
  </si>
  <si>
    <r>
      <t>mfb</t>
    </r>
    <r>
      <rPr>
        <u/>
        <sz val="6"/>
        <color theme="10"/>
        <rFont val="Courier New"/>
        <family val="3"/>
      </rPr>
      <t>1</t>
    </r>
  </si>
  <si>
    <r>
      <t>mfb</t>
    </r>
    <r>
      <rPr>
        <u/>
        <sz val="6"/>
        <color theme="10"/>
        <rFont val="Courier New"/>
        <family val="3"/>
      </rPr>
      <t>0</t>
    </r>
  </si>
  <si>
    <r>
      <t>ncurves</t>
    </r>
    <r>
      <rPr>
        <u/>
        <sz val="6"/>
        <color theme="10"/>
        <rFont val="Courier New"/>
        <family val="3"/>
      </rPr>
      <t>1</t>
    </r>
  </si>
  <si>
    <r>
      <t>ncurves</t>
    </r>
    <r>
      <rPr>
        <u/>
        <sz val="6"/>
        <color theme="10"/>
        <rFont val="Courier New"/>
        <family val="3"/>
      </rPr>
      <t>0</t>
    </r>
  </si>
  <si>
    <t>Index of Parameters</t>
  </si>
  <si>
    <t>Linear Algebra</t>
  </si>
  <si>
    <t>CPU time (seconds)</t>
  </si>
  <si>
    <t>MurphyE of poly found:</t>
  </si>
  <si>
    <t>Workers:</t>
  </si>
  <si>
    <t>t2.medium</t>
  </si>
  <si>
    <t>AWS</t>
  </si>
  <si>
    <t>Mean</t>
  </si>
  <si>
    <t>O4</t>
  </si>
  <si>
    <t>O21</t>
  </si>
  <si>
    <t>O25</t>
  </si>
  <si>
    <t>O38</t>
  </si>
  <si>
    <t>O39</t>
  </si>
  <si>
    <t>O40</t>
  </si>
  <si>
    <t>O41</t>
  </si>
  <si>
    <t>O42</t>
  </si>
  <si>
    <t>O47</t>
  </si>
  <si>
    <t>O48</t>
  </si>
  <si>
    <t>O49</t>
  </si>
  <si>
    <t>t2.micro</t>
  </si>
  <si>
    <t>O13</t>
  </si>
  <si>
    <t>O15</t>
  </si>
  <si>
    <t>O17</t>
  </si>
  <si>
    <t>Index of Results</t>
  </si>
  <si>
    <t>Wall clock (seconds):</t>
  </si>
  <si>
    <t>c5.large</t>
  </si>
  <si>
    <t>n/a</t>
  </si>
  <si>
    <t>-</t>
  </si>
  <si>
    <t>27720:</t>
  </si>
  <si>
    <t>420:</t>
  </si>
  <si>
    <t>60:</t>
  </si>
  <si>
    <t>2,2,3,5</t>
  </si>
  <si>
    <t>2,2,3,5,7</t>
  </si>
  <si>
    <t>2,2,2,3,3,5,7,11</t>
  </si>
  <si>
    <t>H28</t>
  </si>
  <si>
    <t>O23</t>
  </si>
  <si>
    <t>O63</t>
  </si>
  <si>
    <t>O56</t>
  </si>
  <si>
    <t>O57</t>
  </si>
  <si>
    <t>O58</t>
  </si>
  <si>
    <t>O59</t>
  </si>
  <si>
    <t>Factor Pages:</t>
  </si>
  <si>
    <t>Indices: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</si>
</sst>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%"/>
    <numFmt numFmtId="165" formatCode="0.0"/>
    <numFmt numFmtId="166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6"/>
      <color theme="1"/>
      <name val="Courier New"/>
      <family val="3"/>
    </font>
    <font>
      <u/>
      <sz val="11"/>
      <color rgb="FF006100"/>
      <name val="Calibri"/>
      <family val="2"/>
      <scheme val="minor"/>
    </font>
    <font>
      <sz val="11"/>
      <color rgb="FF9C0006"/>
      <name val="Courier New"/>
      <family val="3"/>
    </font>
    <font>
      <u/>
      <sz val="11"/>
      <color rgb="FF9C0006"/>
      <name val="Courier New"/>
      <family val="3"/>
    </font>
    <font>
      <sz val="11"/>
      <color rgb="FF006100"/>
      <name val="Courier New"/>
      <family val="3"/>
    </font>
    <font>
      <sz val="6"/>
      <color rgb="FF006100"/>
      <name val="Courier New"/>
      <family val="3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ourier New"/>
      <family val="3"/>
    </font>
    <font>
      <u/>
      <sz val="11"/>
      <color theme="10"/>
      <name val="Courier New"/>
      <family val="3"/>
    </font>
    <font>
      <u/>
      <sz val="6"/>
      <color theme="1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53">
    <xf numFmtId="0" fontId="0" fillId="0" borderId="0" xfId="0"/>
    <xf numFmtId="49" fontId="0" fillId="9" borderId="0" xfId="0" applyNumberFormat="1" applyFill="1"/>
    <xf numFmtId="0" fontId="0" fillId="9" borderId="0" xfId="0" applyFill="1"/>
    <xf numFmtId="0" fontId="10" fillId="2" borderId="0" xfId="2" applyFont="1" applyBorder="1"/>
    <xf numFmtId="0" fontId="7" fillId="4" borderId="0" xfId="4" applyFont="1" applyBorder="1"/>
    <xf numFmtId="0" fontId="8" fillId="4" borderId="0" xfId="4" applyFont="1"/>
    <xf numFmtId="0" fontId="8" fillId="5" borderId="0" xfId="5" applyFont="1"/>
    <xf numFmtId="0" fontId="11" fillId="3" borderId="0" xfId="3" applyFont="1"/>
    <xf numFmtId="0" fontId="12" fillId="3" borderId="0" xfId="3" applyFont="1" applyBorder="1"/>
    <xf numFmtId="1" fontId="2" fillId="2" borderId="4" xfId="2" applyNumberFormat="1" applyBorder="1" applyAlignment="1">
      <alignment horizontal="center" vertical="center"/>
    </xf>
    <xf numFmtId="0" fontId="2" fillId="2" borderId="4" xfId="2" applyBorder="1" applyAlignment="1">
      <alignment horizontal="center" vertical="center"/>
    </xf>
    <xf numFmtId="0" fontId="2" fillId="2" borderId="5" xfId="2" applyBorder="1" applyAlignment="1">
      <alignment horizontal="center" vertical="center"/>
    </xf>
    <xf numFmtId="1" fontId="1" fillId="4" borderId="4" xfId="4" applyNumberFormat="1" applyBorder="1" applyAlignment="1">
      <alignment horizontal="center" vertical="center"/>
    </xf>
    <xf numFmtId="0" fontId="1" fillId="4" borderId="4" xfId="4" applyBorder="1"/>
    <xf numFmtId="0" fontId="0" fillId="5" borderId="4" xfId="5" applyFont="1" applyBorder="1" applyAlignment="1">
      <alignment horizontal="center" vertical="center"/>
    </xf>
    <xf numFmtId="0" fontId="1" fillId="5" borderId="4" xfId="5" applyBorder="1" applyAlignment="1">
      <alignment horizontal="center" vertical="center"/>
    </xf>
    <xf numFmtId="1" fontId="0" fillId="5" borderId="4" xfId="5" applyNumberFormat="1" applyFont="1" applyBorder="1" applyAlignment="1">
      <alignment horizontal="center" vertical="center"/>
    </xf>
    <xf numFmtId="0" fontId="3" fillId="3" borderId="4" xfId="3" applyBorder="1" applyAlignment="1">
      <alignment horizontal="center" vertical="center"/>
    </xf>
    <xf numFmtId="1" fontId="3" fillId="3" borderId="4" xfId="3" applyNumberFormat="1" applyBorder="1" applyAlignment="1">
      <alignment horizontal="center" vertical="center"/>
    </xf>
    <xf numFmtId="0" fontId="3" fillId="3" borderId="4" xfId="3" applyBorder="1"/>
    <xf numFmtId="0" fontId="13" fillId="2" borderId="0" xfId="2" applyFont="1"/>
    <xf numFmtId="0" fontId="13" fillId="2" borderId="0" xfId="2" quotePrefix="1" applyFont="1"/>
    <xf numFmtId="0" fontId="13" fillId="2" borderId="0" xfId="2" applyFont="1" applyBorder="1"/>
    <xf numFmtId="0" fontId="13" fillId="2" borderId="1" xfId="2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applyFont="1" applyFill="1"/>
    <xf numFmtId="2" fontId="0" fillId="9" borderId="0" xfId="0" applyNumberFormat="1" applyFill="1"/>
    <xf numFmtId="0" fontId="0" fillId="9" borderId="1" xfId="0" applyFill="1" applyBorder="1"/>
    <xf numFmtId="0" fontId="0" fillId="9" borderId="6" xfId="0" applyFont="1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ont="1" applyFill="1" applyBorder="1"/>
    <xf numFmtId="0" fontId="0" fillId="9" borderId="0" xfId="0" applyFill="1" applyBorder="1"/>
    <xf numFmtId="0" fontId="0" fillId="9" borderId="2" xfId="0" applyFill="1" applyBorder="1"/>
    <xf numFmtId="0" fontId="0" fillId="9" borderId="10" xfId="0" applyFont="1" applyFill="1" applyBorder="1"/>
    <xf numFmtId="0" fontId="0" fillId="9" borderId="3" xfId="0" applyFill="1" applyBorder="1"/>
    <xf numFmtId="0" fontId="0" fillId="9" borderId="0" xfId="0" applyFont="1" applyFill="1"/>
    <xf numFmtId="0" fontId="0" fillId="9" borderId="9" xfId="0" applyFill="1" applyBorder="1"/>
    <xf numFmtId="0" fontId="4" fillId="9" borderId="0" xfId="0" applyFont="1" applyFill="1"/>
    <xf numFmtId="0" fontId="0" fillId="6" borderId="0" xfId="0" applyFill="1"/>
    <xf numFmtId="0" fontId="0" fillId="6" borderId="0" xfId="0" applyFont="1" applyFill="1"/>
    <xf numFmtId="0" fontId="8" fillId="6" borderId="0" xfId="0" applyFont="1" applyFill="1"/>
    <xf numFmtId="0" fontId="0" fillId="8" borderId="9" xfId="0" applyFont="1" applyFill="1" applyBorder="1"/>
    <xf numFmtId="0" fontId="0" fillId="8" borderId="0" xfId="0" applyFill="1" applyBorder="1"/>
    <xf numFmtId="0" fontId="0" fillId="8" borderId="2" xfId="0" applyFill="1" applyBorder="1"/>
    <xf numFmtId="0" fontId="0" fillId="8" borderId="10" xfId="0" applyFont="1" applyFill="1" applyBorder="1"/>
    <xf numFmtId="0" fontId="0" fillId="8" borderId="1" xfId="0" applyFill="1" applyBorder="1"/>
    <xf numFmtId="0" fontId="0" fillId="8" borderId="3" xfId="0" applyFill="1" applyBorder="1"/>
    <xf numFmtId="0" fontId="0" fillId="8" borderId="9" xfId="0" applyFill="1" applyBorder="1"/>
    <xf numFmtId="0" fontId="0" fillId="8" borderId="10" xfId="0" applyFill="1" applyBorder="1"/>
    <xf numFmtId="0" fontId="15" fillId="8" borderId="4" xfId="3" applyFont="1" applyFill="1" applyBorder="1" applyAlignment="1">
      <alignment horizontal="right"/>
    </xf>
    <xf numFmtId="1" fontId="0" fillId="4" borderId="4" xfId="4" applyNumberFormat="1" applyFont="1" applyBorder="1" applyAlignment="1">
      <alignment horizontal="left" vertical="center"/>
    </xf>
    <xf numFmtId="0" fontId="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5" fillId="9" borderId="0" xfId="6" applyFill="1" applyAlignment="1">
      <alignment horizontal="center"/>
    </xf>
    <xf numFmtId="0" fontId="16" fillId="9" borderId="0" xfId="0" applyFont="1" applyFill="1" applyAlignment="1">
      <alignment horizontal="center"/>
    </xf>
    <xf numFmtId="0" fontId="5" fillId="9" borderId="0" xfId="6" applyFill="1"/>
    <xf numFmtId="0" fontId="5" fillId="9" borderId="0" xfId="6" applyFill="1" applyBorder="1" applyAlignment="1">
      <alignment horizontal="center"/>
    </xf>
    <xf numFmtId="0" fontId="5" fillId="9" borderId="1" xfId="6" applyFill="1" applyBorder="1" applyAlignment="1">
      <alignment horizontal="center"/>
    </xf>
    <xf numFmtId="0" fontId="0" fillId="9" borderId="0" xfId="0" applyFill="1" applyAlignment="1">
      <alignment horizontal="left"/>
    </xf>
    <xf numFmtId="0" fontId="10" fillId="2" borderId="0" xfId="2" applyFont="1" applyBorder="1" applyAlignment="1">
      <alignment horizontal="left"/>
    </xf>
    <xf numFmtId="0" fontId="13" fillId="2" borderId="0" xfId="2" applyFont="1" applyAlignment="1">
      <alignment horizontal="left"/>
    </xf>
    <xf numFmtId="0" fontId="13" fillId="2" borderId="0" xfId="2" quotePrefix="1" applyFont="1" applyAlignment="1">
      <alignment horizontal="left"/>
    </xf>
    <xf numFmtId="0" fontId="13" fillId="2" borderId="0" xfId="2" applyFont="1" applyBorder="1" applyAlignment="1">
      <alignment horizontal="left"/>
    </xf>
    <xf numFmtId="0" fontId="13" fillId="2" borderId="1" xfId="2" applyFont="1" applyBorder="1" applyAlignment="1">
      <alignment horizontal="left"/>
    </xf>
    <xf numFmtId="0" fontId="0" fillId="6" borderId="0" xfId="0" applyFill="1" applyAlignment="1">
      <alignment horizontal="left"/>
    </xf>
    <xf numFmtId="0" fontId="7" fillId="4" borderId="0" xfId="4" applyFont="1" applyBorder="1" applyAlignment="1">
      <alignment horizontal="left"/>
    </xf>
    <xf numFmtId="0" fontId="8" fillId="4" borderId="0" xfId="4" applyFont="1" applyAlignment="1">
      <alignment horizontal="left"/>
    </xf>
    <xf numFmtId="0" fontId="8" fillId="5" borderId="0" xfId="5" applyFont="1" applyAlignment="1">
      <alignment horizontal="left"/>
    </xf>
    <xf numFmtId="0" fontId="8" fillId="6" borderId="0" xfId="0" applyFont="1" applyFill="1" applyAlignment="1">
      <alignment horizontal="left"/>
    </xf>
    <xf numFmtId="0" fontId="0" fillId="7" borderId="0" xfId="0" applyFont="1" applyFill="1" applyAlignment="1">
      <alignment horizontal="left"/>
    </xf>
    <xf numFmtId="0" fontId="0" fillId="9" borderId="0" xfId="0" applyFont="1" applyFill="1" applyAlignment="1">
      <alignment horizontal="left"/>
    </xf>
    <xf numFmtId="0" fontId="12" fillId="3" borderId="0" xfId="3" applyFont="1" applyBorder="1" applyAlignment="1">
      <alignment horizontal="left"/>
    </xf>
    <xf numFmtId="0" fontId="11" fillId="3" borderId="0" xfId="3" applyFont="1" applyAlignment="1">
      <alignment horizontal="left"/>
    </xf>
    <xf numFmtId="0" fontId="0" fillId="7" borderId="0" xfId="0" applyFill="1" applyAlignment="1">
      <alignment horizontal="left"/>
    </xf>
    <xf numFmtId="0" fontId="4" fillId="9" borderId="0" xfId="0" applyFont="1" applyFill="1" applyAlignment="1">
      <alignment horizontal="left"/>
    </xf>
    <xf numFmtId="165" fontId="13" fillId="2" borderId="0" xfId="2" applyNumberFormat="1" applyFont="1" applyBorder="1" applyAlignment="1">
      <alignment horizontal="left"/>
    </xf>
    <xf numFmtId="165" fontId="8" fillId="5" borderId="0" xfId="5" applyNumberFormat="1" applyFont="1" applyAlignment="1">
      <alignment horizontal="left"/>
    </xf>
    <xf numFmtId="165" fontId="13" fillId="2" borderId="0" xfId="2" applyNumberFormat="1" applyFont="1" applyBorder="1"/>
    <xf numFmtId="165" fontId="8" fillId="5" borderId="0" xfId="5" applyNumberFormat="1" applyFont="1"/>
    <xf numFmtId="3" fontId="13" fillId="2" borderId="0" xfId="2" quotePrefix="1" applyNumberFormat="1" applyFont="1"/>
    <xf numFmtId="2" fontId="8" fillId="4" borderId="0" xfId="4" applyNumberFormat="1" applyFont="1"/>
    <xf numFmtId="1" fontId="8" fillId="5" borderId="0" xfId="5" applyNumberFormat="1" applyFont="1"/>
    <xf numFmtId="0" fontId="15" fillId="9" borderId="0" xfId="0" applyFont="1" applyFill="1"/>
    <xf numFmtId="0" fontId="15" fillId="9" borderId="0" xfId="0" applyFont="1" applyFill="1" applyBorder="1"/>
    <xf numFmtId="0" fontId="17" fillId="0" borderId="0" xfId="2" applyFont="1" applyFill="1"/>
    <xf numFmtId="0" fontId="17" fillId="0" borderId="0" xfId="2" quotePrefix="1" applyFont="1" applyFill="1"/>
    <xf numFmtId="0" fontId="17" fillId="0" borderId="0" xfId="2" applyFont="1" applyFill="1" applyBorder="1"/>
    <xf numFmtId="0" fontId="17" fillId="0" borderId="0" xfId="4" applyFont="1" applyFill="1"/>
    <xf numFmtId="0" fontId="17" fillId="0" borderId="0" xfId="5" applyFont="1" applyFill="1"/>
    <xf numFmtId="0" fontId="17" fillId="0" borderId="0" xfId="3" applyFont="1" applyFill="1"/>
    <xf numFmtId="0" fontId="18" fillId="2" borderId="0" xfId="6" quotePrefix="1" applyFont="1" applyFill="1"/>
    <xf numFmtId="0" fontId="18" fillId="2" borderId="0" xfId="6" applyFont="1" applyFill="1"/>
    <xf numFmtId="0" fontId="18" fillId="2" borderId="1" xfId="6" applyFont="1" applyFill="1" applyBorder="1"/>
    <xf numFmtId="0" fontId="18" fillId="4" borderId="0" xfId="6" applyFont="1" applyFill="1"/>
    <xf numFmtId="0" fontId="0" fillId="8" borderId="0" xfId="0" applyFill="1" applyAlignment="1">
      <alignment horizontal="center"/>
    </xf>
    <xf numFmtId="49" fontId="4" fillId="9" borderId="0" xfId="0" applyNumberFormat="1" applyFont="1" applyFill="1"/>
    <xf numFmtId="49" fontId="5" fillId="9" borderId="0" xfId="6" applyNumberFormat="1" applyFill="1"/>
    <xf numFmtId="49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0" xfId="0" applyNumberFormat="1" applyFill="1"/>
    <xf numFmtId="164" fontId="1" fillId="10" borderId="0" xfId="1" applyNumberFormat="1" applyFill="1"/>
    <xf numFmtId="164" fontId="3" fillId="3" borderId="0" xfId="3" applyNumberFormat="1"/>
    <xf numFmtId="164" fontId="2" fillId="2" borderId="0" xfId="2" applyNumberFormat="1"/>
    <xf numFmtId="164" fontId="1" fillId="4" borderId="0" xfId="4" applyNumberFormat="1"/>
    <xf numFmtId="1" fontId="2" fillId="2" borderId="0" xfId="2" applyNumberFormat="1" applyAlignment="1">
      <alignment horizontal="right" vertical="center"/>
    </xf>
    <xf numFmtId="1" fontId="1" fillId="4" borderId="0" xfId="4" applyNumberFormat="1" applyAlignment="1">
      <alignment horizontal="right" vertical="center"/>
    </xf>
    <xf numFmtId="1" fontId="1" fillId="5" borderId="0" xfId="5" applyNumberFormat="1" applyBorder="1" applyAlignment="1">
      <alignment horizontal="right" vertical="center"/>
    </xf>
    <xf numFmtId="1" fontId="3" fillId="3" borderId="0" xfId="3" applyNumberFormat="1" applyAlignment="1">
      <alignment horizontal="right" vertical="center"/>
    </xf>
    <xf numFmtId="11" fontId="0" fillId="9" borderId="0" xfId="0" applyNumberFormat="1" applyFill="1"/>
    <xf numFmtId="1" fontId="5" fillId="2" borderId="4" xfId="6" applyNumberFormat="1" applyFill="1" applyBorder="1" applyAlignment="1">
      <alignment horizontal="center" vertical="center"/>
    </xf>
    <xf numFmtId="0" fontId="5" fillId="2" borderId="4" xfId="6" applyFill="1" applyBorder="1" applyAlignment="1">
      <alignment horizontal="center" vertical="center"/>
    </xf>
    <xf numFmtId="1" fontId="5" fillId="4" borderId="4" xfId="6" applyNumberFormat="1" applyFill="1" applyBorder="1" applyAlignment="1">
      <alignment horizontal="left" vertical="center"/>
    </xf>
    <xf numFmtId="0" fontId="5" fillId="5" borderId="4" xfId="6" applyFill="1" applyBorder="1" applyAlignment="1">
      <alignment horizontal="center" vertical="center" wrapText="1"/>
    </xf>
    <xf numFmtId="0" fontId="5" fillId="5" borderId="4" xfId="6" applyFill="1" applyBorder="1" applyAlignment="1">
      <alignment horizontal="center" vertical="center"/>
    </xf>
    <xf numFmtId="1" fontId="5" fillId="5" borderId="4" xfId="6" applyNumberFormat="1" applyFill="1" applyBorder="1" applyAlignment="1">
      <alignment horizontal="center" vertical="center"/>
    </xf>
    <xf numFmtId="0" fontId="5" fillId="3" borderId="4" xfId="6" applyFill="1" applyBorder="1" applyAlignment="1">
      <alignment horizontal="center" vertical="center"/>
    </xf>
    <xf numFmtId="1" fontId="5" fillId="3" borderId="4" xfId="6" applyNumberForma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right"/>
    </xf>
    <xf numFmtId="46" fontId="4" fillId="9" borderId="0" xfId="0" quotePrefix="1" applyNumberFormat="1" applyFont="1" applyFill="1" applyAlignment="1">
      <alignment horizontal="right"/>
    </xf>
    <xf numFmtId="0" fontId="4" fillId="9" borderId="0" xfId="0" quotePrefix="1" applyFont="1" applyFill="1" applyAlignment="1">
      <alignment horizontal="right"/>
    </xf>
    <xf numFmtId="11" fontId="0" fillId="9" borderId="0" xfId="0" applyNumberFormat="1" applyFill="1" applyAlignment="1">
      <alignment horizontal="center"/>
    </xf>
    <xf numFmtId="11" fontId="0" fillId="8" borderId="0" xfId="0" applyNumberFormat="1" applyFill="1" applyAlignment="1">
      <alignment horizontal="center"/>
    </xf>
    <xf numFmtId="0" fontId="0" fillId="7" borderId="0" xfId="0" applyFill="1" applyBorder="1"/>
    <xf numFmtId="0" fontId="0" fillId="0" borderId="0" xfId="0" applyBorder="1"/>
    <xf numFmtId="1" fontId="0" fillId="9" borderId="6" xfId="0" applyNumberFormat="1" applyFont="1" applyFill="1" applyBorder="1"/>
    <xf numFmtId="1" fontId="0" fillId="9" borderId="7" xfId="0" applyNumberFormat="1" applyFill="1" applyBorder="1"/>
    <xf numFmtId="1" fontId="0" fillId="9" borderId="8" xfId="0" applyNumberFormat="1" applyFill="1" applyBorder="1"/>
    <xf numFmtId="0" fontId="0" fillId="9" borderId="6" xfId="0" applyNumberFormat="1" applyFont="1" applyFill="1" applyBorder="1"/>
    <xf numFmtId="0" fontId="0" fillId="9" borderId="7" xfId="0" applyNumberFormat="1" applyFill="1" applyBorder="1"/>
    <xf numFmtId="166" fontId="0" fillId="9" borderId="0" xfId="1" applyNumberFormat="1" applyFont="1" applyFill="1" applyAlignment="1">
      <alignment horizontal="right"/>
    </xf>
    <xf numFmtId="1" fontId="5" fillId="2" borderId="0" xfId="6" applyNumberFormat="1" applyFill="1" applyAlignment="1">
      <alignment horizontal="right" vertical="center"/>
    </xf>
    <xf numFmtId="0" fontId="0" fillId="9" borderId="8" xfId="0" applyNumberFormat="1" applyFill="1" applyBorder="1"/>
    <xf numFmtId="0" fontId="5" fillId="9" borderId="0" xfId="6" applyFill="1" applyBorder="1"/>
    <xf numFmtId="0" fontId="0" fillId="9" borderId="0" xfId="0" applyFill="1" applyBorder="1" applyAlignment="1">
      <alignment horizontal="center"/>
    </xf>
    <xf numFmtId="0" fontId="5" fillId="9" borderId="0" xfId="6" applyFill="1" applyBorder="1" applyAlignment="1">
      <alignment horizontal="left"/>
    </xf>
    <xf numFmtId="0" fontId="4" fillId="9" borderId="0" xfId="0" applyFont="1" applyFill="1" applyAlignment="1">
      <alignment horizontal="center"/>
    </xf>
    <xf numFmtId="0" fontId="5" fillId="9" borderId="0" xfId="6" applyFill="1" applyAlignment="1">
      <alignment horizontal="center" vertical="center" wrapText="1"/>
    </xf>
    <xf numFmtId="0" fontId="5" fillId="9" borderId="0" xfId="6" applyFill="1" applyAlignment="1">
      <alignment horizontal="center" wrapText="1"/>
    </xf>
    <xf numFmtId="1" fontId="2" fillId="2" borderId="0" xfId="2" applyNumberFormat="1" applyAlignment="1">
      <alignment horizontal="center" vertical="center" textRotation="90"/>
    </xf>
    <xf numFmtId="1" fontId="1" fillId="4" borderId="0" xfId="4" applyNumberFormat="1" applyAlignment="1">
      <alignment horizontal="center" vertical="center" textRotation="90"/>
    </xf>
    <xf numFmtId="1" fontId="3" fillId="3" borderId="0" xfId="3" applyNumberFormat="1" applyAlignment="1">
      <alignment horizontal="center" vertical="center" textRotation="90"/>
    </xf>
    <xf numFmtId="1" fontId="1" fillId="5" borderId="0" xfId="5" applyNumberFormat="1" applyBorder="1" applyAlignment="1">
      <alignment horizontal="center" vertical="center" textRotation="90"/>
    </xf>
    <xf numFmtId="0" fontId="5" fillId="9" borderId="0" xfId="6" applyFill="1" applyAlignment="1">
      <alignment horizontal="center"/>
    </xf>
    <xf numFmtId="0" fontId="2" fillId="2" borderId="0" xfId="2" applyAlignment="1">
      <alignment horizontal="center" vertical="center" textRotation="90"/>
    </xf>
    <xf numFmtId="0" fontId="1" fillId="4" borderId="0" xfId="4" applyAlignment="1">
      <alignment horizontal="center" vertical="center" textRotation="90"/>
    </xf>
    <xf numFmtId="0" fontId="1" fillId="5" borderId="0" xfId="5" applyAlignment="1">
      <alignment horizontal="center" vertical="center" textRotation="90"/>
    </xf>
    <xf numFmtId="0" fontId="2" fillId="2" borderId="2" xfId="2" applyBorder="1" applyAlignment="1">
      <alignment horizontal="center" vertical="center" textRotation="90"/>
    </xf>
    <xf numFmtId="0" fontId="1" fillId="5" borderId="2" xfId="5" applyBorder="1" applyAlignment="1">
      <alignment horizontal="center" vertical="center" textRotation="90"/>
    </xf>
    <xf numFmtId="1" fontId="3" fillId="3" borderId="2" xfId="3" applyNumberFormat="1" applyBorder="1" applyAlignment="1">
      <alignment horizontal="center" vertical="center" textRotation="90"/>
    </xf>
    <xf numFmtId="0" fontId="1" fillId="4" borderId="2" xfId="4" applyBorder="1" applyAlignment="1">
      <alignment horizontal="center" vertical="center" textRotation="90"/>
    </xf>
  </cellXfs>
  <cellStyles count="7">
    <cellStyle name="40% - Accent1" xfId="4" builtinId="31"/>
    <cellStyle name="40% - Accent2" xfId="5" builtinId="35"/>
    <cellStyle name="Bad" xfId="3" builtinId="27"/>
    <cellStyle name="Good" xfId="2" builtinId="26"/>
    <cellStyle name="Hyperlink" xfId="6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6100"/>
      <color rgb="FFFFC7CE"/>
      <color rgb="FFF8CBAD"/>
      <color rgb="FFBDD7E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admax</a:t>
            </a:r>
            <a:r>
              <a:rPr lang="en-US" sz="1000" baseline="0"/>
              <a:t> (log display)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Parameters'!$E$5:$AO$5</c:f>
              <c:numCache>
                <c:formatCode>General</c:formatCode>
                <c:ptCount val="37"/>
                <c:pt idx="0">
                  <c:v>1000</c:v>
                </c:pt>
                <c:pt idx="1">
                  <c:v>10000</c:v>
                </c:pt>
                <c:pt idx="2">
                  <c:v>22000</c:v>
                </c:pt>
                <c:pt idx="3">
                  <c:v>44000</c:v>
                </c:pt>
                <c:pt idx="4">
                  <c:v>84000</c:v>
                </c:pt>
                <c:pt idx="5">
                  <c:v>50000</c:v>
                </c:pt>
                <c:pt idx="6">
                  <c:v>50000</c:v>
                </c:pt>
                <c:pt idx="7" formatCode="0.00E+00">
                  <c:v>150000</c:v>
                </c:pt>
                <c:pt idx="8" formatCode="0.00E+00">
                  <c:v>150000</c:v>
                </c:pt>
                <c:pt idx="9" formatCode="0.00E+00">
                  <c:v>500000</c:v>
                </c:pt>
                <c:pt idx="10" formatCode="0.00E+00">
                  <c:v>500000</c:v>
                </c:pt>
                <c:pt idx="11" formatCode="0.00E+00">
                  <c:v>500000</c:v>
                </c:pt>
                <c:pt idx="12" formatCode="0.00E+00">
                  <c:v>1000000</c:v>
                </c:pt>
                <c:pt idx="13" formatCode="0.00E+00">
                  <c:v>50000</c:v>
                </c:pt>
                <c:pt idx="14" formatCode="0.00E+00">
                  <c:v>500000</c:v>
                </c:pt>
                <c:pt idx="15" formatCode="0.00E+00">
                  <c:v>1000000</c:v>
                </c:pt>
                <c:pt idx="16" formatCode="0.00E+00">
                  <c:v>200000</c:v>
                </c:pt>
                <c:pt idx="17" formatCode="0.00E+00">
                  <c:v>400000</c:v>
                </c:pt>
                <c:pt idx="18" formatCode="0.00E+00">
                  <c:v>500000</c:v>
                </c:pt>
                <c:pt idx="19" formatCode="0.00E+00">
                  <c:v>400000</c:v>
                </c:pt>
                <c:pt idx="20" formatCode="0.00E+00">
                  <c:v>500000</c:v>
                </c:pt>
                <c:pt idx="21" formatCode="0.00E+00">
                  <c:v>1000000</c:v>
                </c:pt>
                <c:pt idx="22" formatCode="0.00E+00">
                  <c:v>2000000</c:v>
                </c:pt>
                <c:pt idx="23" formatCode="0.00E+00">
                  <c:v>3000000</c:v>
                </c:pt>
                <c:pt idx="24" formatCode="0.00E+00">
                  <c:v>20000000</c:v>
                </c:pt>
                <c:pt idx="25" formatCode="0.00E+00">
                  <c:v>5000000</c:v>
                </c:pt>
                <c:pt idx="26" formatCode="0.00E+00">
                  <c:v>300000000</c:v>
                </c:pt>
                <c:pt idx="27" formatCode="0.00E+00">
                  <c:v>30000000</c:v>
                </c:pt>
                <c:pt idx="28" formatCode="0.00E+00">
                  <c:v>50000000</c:v>
                </c:pt>
                <c:pt idx="29" formatCode="0.00E+00">
                  <c:v>10000000</c:v>
                </c:pt>
                <c:pt idx="30" formatCode="0.00E+00">
                  <c:v>50000000</c:v>
                </c:pt>
                <c:pt idx="31" formatCode="0.00E+00">
                  <c:v>200000000</c:v>
                </c:pt>
                <c:pt idx="32" formatCode="0.00E+00">
                  <c:v>100000000</c:v>
                </c:pt>
                <c:pt idx="33" formatCode="0.00E+00">
                  <c:v>100000000</c:v>
                </c:pt>
                <c:pt idx="34" formatCode="0.00E+00">
                  <c:v>100000000</c:v>
                </c:pt>
                <c:pt idx="35" formatCode="0.00E+00">
                  <c:v>100000000</c:v>
                </c:pt>
                <c:pt idx="36" formatCode="0.00E+00">
                  <c:v>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C-43C4-A670-E2AFD5219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 val="autoZero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sz="1000" baseline="0"/>
              <a:t> 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Parameters'!$E$6:$AO$6</c:f>
              <c:numCache>
                <c:formatCode>General</c:formatCode>
                <c:ptCount val="37"/>
                <c:pt idx="0">
                  <c:v>272</c:v>
                </c:pt>
                <c:pt idx="1">
                  <c:v>420</c:v>
                </c:pt>
                <c:pt idx="2">
                  <c:v>950</c:v>
                </c:pt>
                <c:pt idx="3">
                  <c:v>1800</c:v>
                </c:pt>
                <c:pt idx="4">
                  <c:v>3600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50000</c:v>
                </c:pt>
                <c:pt idx="14">
                  <c:v>40000</c:v>
                </c:pt>
                <c:pt idx="15">
                  <c:v>80000</c:v>
                </c:pt>
                <c:pt idx="16" formatCode="0.00E+00">
                  <c:v>120000</c:v>
                </c:pt>
                <c:pt idx="17" formatCode="0.00E+00">
                  <c:v>200000</c:v>
                </c:pt>
                <c:pt idx="18" formatCode="0.00E+00">
                  <c:v>300000</c:v>
                </c:pt>
                <c:pt idx="19" formatCode="0.00E+00">
                  <c:v>500000</c:v>
                </c:pt>
                <c:pt idx="20" formatCode="0.00E+00">
                  <c:v>500000</c:v>
                </c:pt>
                <c:pt idx="21" formatCode="0.00E+00">
                  <c:v>600000</c:v>
                </c:pt>
                <c:pt idx="22" formatCode="0.00E+00">
                  <c:v>1000000</c:v>
                </c:pt>
                <c:pt idx="23" formatCode="0.00E+00">
                  <c:v>1500000</c:v>
                </c:pt>
                <c:pt idx="24" formatCode="0.00E+00">
                  <c:v>2000000</c:v>
                </c:pt>
                <c:pt idx="25" formatCode="0.00E+00">
                  <c:v>5000000</c:v>
                </c:pt>
                <c:pt idx="26" formatCode="0.00E+00">
                  <c:v>5000000</c:v>
                </c:pt>
                <c:pt idx="27" formatCode="0.00E+00">
                  <c:v>5000000</c:v>
                </c:pt>
                <c:pt idx="28" formatCode="0.00E+00">
                  <c:v>10000000</c:v>
                </c:pt>
                <c:pt idx="29" formatCode="0.00E+00">
                  <c:v>10000000</c:v>
                </c:pt>
                <c:pt idx="30" formatCode="0.00E+00">
                  <c:v>10000000</c:v>
                </c:pt>
                <c:pt idx="31" formatCode="0.00E+00">
                  <c:v>50000000</c:v>
                </c:pt>
                <c:pt idx="32" formatCode="0.00E+00">
                  <c:v>10000000</c:v>
                </c:pt>
                <c:pt idx="33" formatCode="0.00E+00">
                  <c:v>10000000</c:v>
                </c:pt>
                <c:pt idx="34" formatCode="0.00E+00">
                  <c:v>10000000</c:v>
                </c:pt>
                <c:pt idx="35" formatCode="0.00E+00">
                  <c:v>10000000</c:v>
                </c:pt>
                <c:pt idx="36" formatCode="0.00E+00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F-43F1-9DD7-48ACB76D0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 val="autoZero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nq</a:t>
            </a:r>
            <a:endParaRPr lang="en-US" sz="1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Parameters'!$E$8:$AO$8</c:f>
              <c:numCache>
                <c:formatCode>General</c:formatCode>
                <c:ptCount val="37"/>
                <c:pt idx="0">
                  <c:v>3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256</c:v>
                </c:pt>
                <c:pt idx="7">
                  <c:v>256</c:v>
                </c:pt>
                <c:pt idx="8">
                  <c:v>256</c:v>
                </c:pt>
                <c:pt idx="9">
                  <c:v>64</c:v>
                </c:pt>
                <c:pt idx="10">
                  <c:v>256</c:v>
                </c:pt>
                <c:pt idx="11">
                  <c:v>625</c:v>
                </c:pt>
                <c:pt idx="12">
                  <c:v>625</c:v>
                </c:pt>
                <c:pt idx="13">
                  <c:v>3125</c:v>
                </c:pt>
                <c:pt idx="14">
                  <c:v>625</c:v>
                </c:pt>
                <c:pt idx="15">
                  <c:v>625</c:v>
                </c:pt>
                <c:pt idx="16">
                  <c:v>3125</c:v>
                </c:pt>
                <c:pt idx="17">
                  <c:v>3125</c:v>
                </c:pt>
                <c:pt idx="18">
                  <c:v>3125</c:v>
                </c:pt>
                <c:pt idx="19">
                  <c:v>3125</c:v>
                </c:pt>
                <c:pt idx="20">
                  <c:v>3125</c:v>
                </c:pt>
                <c:pt idx="21">
                  <c:v>3125</c:v>
                </c:pt>
                <c:pt idx="22">
                  <c:v>3125</c:v>
                </c:pt>
                <c:pt idx="23">
                  <c:v>3125</c:v>
                </c:pt>
                <c:pt idx="24">
                  <c:v>1000</c:v>
                </c:pt>
                <c:pt idx="25">
                  <c:v>1000</c:v>
                </c:pt>
                <c:pt idx="26">
                  <c:v>3125</c:v>
                </c:pt>
                <c:pt idx="27">
                  <c:v>3125</c:v>
                </c:pt>
                <c:pt idx="28">
                  <c:v>1000</c:v>
                </c:pt>
                <c:pt idx="29">
                  <c:v>3125</c:v>
                </c:pt>
                <c:pt idx="30">
                  <c:v>1000</c:v>
                </c:pt>
                <c:pt idx="31">
                  <c:v>1296</c:v>
                </c:pt>
                <c:pt idx="32">
                  <c:v>1296</c:v>
                </c:pt>
                <c:pt idx="33">
                  <c:v>1296</c:v>
                </c:pt>
                <c:pt idx="34">
                  <c:v>1296</c:v>
                </c:pt>
                <c:pt idx="35">
                  <c:v>1296</c:v>
                </c:pt>
                <c:pt idx="36">
                  <c:v>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1-4A33-B936-C31C7C443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 val="autoZero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nrkeep</a:t>
            </a:r>
            <a:endParaRPr lang="en-US" sz="1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nrkeep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Parameters'!$E$9:$AO$9</c:f>
              <c:numCache>
                <c:formatCode>General</c:formatCode>
                <c:ptCount val="37"/>
                <c:pt idx="0">
                  <c:v>2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50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1-4ED4-B17B-1EA24DAF6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 val="autoZero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degree</a:t>
            </a:r>
            <a:endParaRPr lang="en-US" sz="1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degree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Parameters'!$E$10:$AO$10</c:f>
              <c:numCache>
                <c:formatCode>General</c:formatCode>
                <c:ptCount val="37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D-44B6-B9E6-2A2DE87F7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"/>
        <c:auto val="1"/>
        <c:lblAlgn val="ctr"/>
        <c:lblOffset val="100"/>
        <c:noMultiLvlLbl val="0"/>
      </c:catAx>
      <c:valAx>
        <c:axId val="78107024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</a:t>
            </a:r>
            <a:r>
              <a:rPr lang="en-US" sz="800"/>
              <a:t>opt</a:t>
            </a:r>
            <a:r>
              <a:rPr lang="en-US"/>
              <a:t>effort</a:t>
            </a:r>
            <a:endParaRPr lang="en-US" sz="1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ropteffort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Parameters'!$E$11:$AO$11</c:f>
              <c:numCache>
                <c:formatCode>General</c:formatCode>
                <c:ptCount val="37"/>
                <c:pt idx="0">
                  <c:v>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10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F-470D-8641-FAA9577F8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</a:t>
            </a:r>
            <a:endParaRPr lang="en-US" sz="1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Parameters'!$E$12:$AO$12</c:f>
              <c:numCache>
                <c:formatCode>General</c:formatCode>
                <c:ptCount val="37"/>
                <c:pt idx="0">
                  <c:v>20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27720</c:v>
                </c:pt>
                <c:pt idx="27">
                  <c:v>420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2-481D-873B-811303980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  <c:majorUnit val="6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  <a:r>
              <a:rPr lang="en-US" sz="800"/>
              <a:t>d</a:t>
            </a:r>
            <a:r>
              <a:rPr lang="en-US" sz="1400" b="0" i="0" u="none" strike="noStrike" baseline="0">
                <a:effectLst/>
              </a:rPr>
              <a:t>range </a:t>
            </a:r>
            <a:r>
              <a:rPr lang="en-US" sz="1000" b="0" i="0" u="none" strike="noStrike" baseline="0">
                <a:effectLst/>
              </a:rPr>
              <a:t>(log display)</a:t>
            </a:r>
            <a:endParaRPr lang="en-US" sz="1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Parameters'!$E$14:$AO$14</c:f>
              <c:numCache>
                <c:formatCode>General</c:formatCode>
                <c:ptCount val="37"/>
                <c:pt idx="0">
                  <c:v>100</c:v>
                </c:pt>
                <c:pt idx="1">
                  <c:v>5000</c:v>
                </c:pt>
                <c:pt idx="2">
                  <c:v>11000</c:v>
                </c:pt>
                <c:pt idx="3">
                  <c:v>22000</c:v>
                </c:pt>
                <c:pt idx="4">
                  <c:v>42000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10000</c:v>
                </c:pt>
                <c:pt idx="9">
                  <c:v>10000</c:v>
                </c:pt>
                <c:pt idx="10">
                  <c:v>5000</c:v>
                </c:pt>
                <c:pt idx="11">
                  <c:v>5000</c:v>
                </c:pt>
                <c:pt idx="12">
                  <c:v>10000</c:v>
                </c:pt>
                <c:pt idx="13">
                  <c:v>500</c:v>
                </c:pt>
                <c:pt idx="14">
                  <c:v>5000</c:v>
                </c:pt>
                <c:pt idx="15">
                  <c:v>10000</c:v>
                </c:pt>
                <c:pt idx="16">
                  <c:v>2000</c:v>
                </c:pt>
                <c:pt idx="17">
                  <c:v>4000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100000</c:v>
                </c:pt>
                <c:pt idx="25">
                  <c:v>5000</c:v>
                </c:pt>
                <c:pt idx="26">
                  <c:v>300000</c:v>
                </c:pt>
                <c:pt idx="27">
                  <c:v>4200</c:v>
                </c:pt>
                <c:pt idx="28">
                  <c:v>50000</c:v>
                </c:pt>
                <c:pt idx="29">
                  <c:v>1000</c:v>
                </c:pt>
                <c:pt idx="30">
                  <c:v>500000</c:v>
                </c:pt>
                <c:pt idx="31">
                  <c:v>10000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5-46CC-ACD4-B1837646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mfb</a:t>
            </a:r>
            <a:r>
              <a:rPr lang="en-US" sz="800"/>
              <a:t>0</a:t>
            </a:r>
            <a:r>
              <a:rPr lang="en-US"/>
              <a:t>,</a:t>
            </a:r>
            <a:r>
              <a:rPr lang="en-US" baseline="0"/>
              <a:t> mfb</a:t>
            </a:r>
            <a:r>
              <a:rPr lang="en-US" sz="800" baseline="0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mfb0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Parameters'!$E$17:$AO$17</c:f>
              <c:numCache>
                <c:formatCode>General</c:formatCode>
                <c:ptCount val="37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4-48C5-9CB5-BA3A67C5243C}"/>
            </c:ext>
          </c:extLst>
        </c:ser>
        <c:ser>
          <c:idx val="0"/>
          <c:order val="1"/>
          <c:tx>
            <c:v>mfb1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Parameters'!$E$18:$AO$18</c:f>
              <c:numCache>
                <c:formatCode>General</c:formatCode>
                <c:ptCount val="37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4-48C5-9CB5-BA3A67C52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069912"/>
        <c:axId val="781070240"/>
      </c:line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ncurves</a:t>
            </a:r>
            <a:r>
              <a:rPr lang="en-US" sz="800"/>
              <a:t>0</a:t>
            </a:r>
            <a:r>
              <a:rPr lang="en-US"/>
              <a:t>,</a:t>
            </a:r>
            <a:r>
              <a:rPr lang="en-US" baseline="0"/>
              <a:t> ncurves</a:t>
            </a:r>
            <a:r>
              <a:rPr lang="en-US" sz="800" baseline="0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ncurves0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Parameters'!$E$21:$AO$21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2.1</c:v>
                </c:pt>
                <c:pt idx="18">
                  <c:v>0</c:v>
                </c:pt>
                <c:pt idx="19">
                  <c:v>64</c:v>
                </c:pt>
                <c:pt idx="20">
                  <c:v>62</c:v>
                </c:pt>
                <c:pt idx="21">
                  <c:v>60</c:v>
                </c:pt>
                <c:pt idx="22">
                  <c:v>92</c:v>
                </c:pt>
                <c:pt idx="23">
                  <c:v>62</c:v>
                </c:pt>
                <c:pt idx="24">
                  <c:v>62</c:v>
                </c:pt>
                <c:pt idx="25">
                  <c:v>92</c:v>
                </c:pt>
                <c:pt idx="26">
                  <c:v>64</c:v>
                </c:pt>
                <c:pt idx="27">
                  <c:v>85</c:v>
                </c:pt>
                <c:pt idx="28">
                  <c:v>85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6-4F92-9A53-2BFB51CC1F6F}"/>
            </c:ext>
          </c:extLst>
        </c:ser>
        <c:ser>
          <c:idx val="0"/>
          <c:order val="1"/>
          <c:tx>
            <c:v>ncurves1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Parameters'!$E$22:$AO$22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2.29</c:v>
                </c:pt>
                <c:pt idx="18">
                  <c:v>0</c:v>
                </c:pt>
                <c:pt idx="19">
                  <c:v>87</c:v>
                </c:pt>
                <c:pt idx="20">
                  <c:v>61</c:v>
                </c:pt>
                <c:pt idx="21">
                  <c:v>90</c:v>
                </c:pt>
                <c:pt idx="22">
                  <c:v>91</c:v>
                </c:pt>
                <c:pt idx="23">
                  <c:v>93</c:v>
                </c:pt>
                <c:pt idx="24">
                  <c:v>93</c:v>
                </c:pt>
                <c:pt idx="25">
                  <c:v>99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6-4F92-9A53-2BFB51CC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069912"/>
        <c:axId val="781070240"/>
      </c:line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Garamond" panose="02020404030301010803" pitchFamily="18" charset="0"/>
              </a:rPr>
              <a:t>I</a:t>
            </a:r>
            <a:endParaRPr lang="en-US" sz="800" baseline="0">
              <a:latin typeface="Garamond" panose="020204040303010108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Parameters'!$E$2:$AO$2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Parameters'!$E$24:$AO$24</c:f>
              <c:numCache>
                <c:formatCode>General</c:formatCode>
                <c:ptCount val="37"/>
                <c:pt idx="0">
                  <c:v>9</c:v>
                </c:pt>
                <c:pt idx="1">
                  <c:v>17</c:v>
                </c:pt>
                <c:pt idx="2">
                  <c:v>14</c:v>
                </c:pt>
                <c:pt idx="3">
                  <c:v>14</c:v>
                </c:pt>
                <c:pt idx="4">
                  <c:v>19</c:v>
                </c:pt>
                <c:pt idx="5">
                  <c:v>8</c:v>
                </c:pt>
                <c:pt idx="6">
                  <c:v>19</c:v>
                </c:pt>
                <c:pt idx="7">
                  <c:v>10</c:v>
                </c:pt>
                <c:pt idx="8">
                  <c:v>13</c:v>
                </c:pt>
                <c:pt idx="9">
                  <c:v>16</c:v>
                </c:pt>
                <c:pt idx="10">
                  <c:v>4</c:v>
                </c:pt>
                <c:pt idx="11">
                  <c:v>17</c:v>
                </c:pt>
                <c:pt idx="12">
                  <c:v>11</c:v>
                </c:pt>
                <c:pt idx="13">
                  <c:v>22</c:v>
                </c:pt>
                <c:pt idx="14">
                  <c:v>16</c:v>
                </c:pt>
                <c:pt idx="15">
                  <c:v>21</c:v>
                </c:pt>
                <c:pt idx="16">
                  <c:v>13</c:v>
                </c:pt>
                <c:pt idx="17">
                  <c:v>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13</c:v>
                </c:pt>
                <c:pt idx="30">
                  <c:v>0</c:v>
                </c:pt>
                <c:pt idx="31">
                  <c:v>21</c:v>
                </c:pt>
                <c:pt idx="32">
                  <c:v>21</c:v>
                </c:pt>
                <c:pt idx="33">
                  <c:v>31</c:v>
                </c:pt>
                <c:pt idx="34">
                  <c:v>31</c:v>
                </c:pt>
                <c:pt idx="35">
                  <c:v>30</c:v>
                </c:pt>
                <c:pt idx="3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FF-448A-8A55-6D2B9EFEA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and Root optimization </a:t>
            </a:r>
            <a:r>
              <a:rPr lang="en-US" sz="1000" baseline="0"/>
              <a:t>(log display)</a:t>
            </a:r>
          </a:p>
          <a:p>
            <a:pPr>
              <a:defRPr/>
            </a:pPr>
            <a:r>
              <a:rPr lang="en-US" sz="1000" baseline="0"/>
              <a:t>With MurphyE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Size optimization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Results'!$E$3:$AO$3</c:f>
              <c:numCache>
                <c:formatCode>General</c:formatCode>
                <c:ptCount val="37"/>
                <c:pt idx="0">
                  <c:v>1.7999999999999999E-2</c:v>
                </c:pt>
                <c:pt idx="1">
                  <c:v>0.97000000000000008</c:v>
                </c:pt>
                <c:pt idx="2">
                  <c:v>1.982</c:v>
                </c:pt>
                <c:pt idx="3">
                  <c:v>3.8540000000000001</c:v>
                </c:pt>
                <c:pt idx="4">
                  <c:v>8.0120000000000005</c:v>
                </c:pt>
                <c:pt idx="5">
                  <c:v>6.1220000000000008</c:v>
                </c:pt>
                <c:pt idx="6">
                  <c:v>21.686</c:v>
                </c:pt>
                <c:pt idx="7">
                  <c:v>65.662000000000006</c:v>
                </c:pt>
                <c:pt idx="8">
                  <c:v>65.816000000000003</c:v>
                </c:pt>
                <c:pt idx="9">
                  <c:v>62.636000000000003</c:v>
                </c:pt>
                <c:pt idx="10">
                  <c:v>220.74600000000001</c:v>
                </c:pt>
                <c:pt idx="11">
                  <c:v>1116.1580000000001</c:v>
                </c:pt>
                <c:pt idx="12">
                  <c:v>1104.17</c:v>
                </c:pt>
                <c:pt idx="13">
                  <c:v>1322.7739999999999</c:v>
                </c:pt>
                <c:pt idx="14">
                  <c:v>1989.4180000000001</c:v>
                </c:pt>
                <c:pt idx="15">
                  <c:v>6571.6460000000006</c:v>
                </c:pt>
                <c:pt idx="16">
                  <c:v>9934.5459999999985</c:v>
                </c:pt>
                <c:pt idx="17">
                  <c:v>31104.02</c:v>
                </c:pt>
                <c:pt idx="18">
                  <c:v>55252.819999999992</c:v>
                </c:pt>
                <c:pt idx="19">
                  <c:v>68262.439999999988</c:v>
                </c:pt>
                <c:pt idx="20">
                  <c:v>89399.72</c:v>
                </c:pt>
                <c:pt idx="21">
                  <c:v>214916.2</c:v>
                </c:pt>
                <c:pt idx="22">
                  <c:v>686613.4</c:v>
                </c:pt>
                <c:pt idx="23">
                  <c:v>1519382</c:v>
                </c:pt>
                <c:pt idx="24">
                  <c:v>3938938</c:v>
                </c:pt>
                <c:pt idx="25">
                  <c:v>2322988</c:v>
                </c:pt>
                <c:pt idx="26">
                  <c:v>1059274</c:v>
                </c:pt>
                <c:pt idx="27">
                  <c:v>6679416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9-421F-9381-47B2F9FCA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tested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  <c:max val="1000000"/>
          <c:min val="1.0000000000000006E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Generate factor base </a:t>
            </a:r>
            <a:r>
              <a:rPr lang="en-US" sz="1000" baseline="0"/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Generate factor base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Results'!$E$14:$AO$14</c:f>
              <c:numCache>
                <c:formatCode>General</c:formatCode>
                <c:ptCount val="37"/>
                <c:pt idx="0">
                  <c:v>1.8000000000000002E-2</c:v>
                </c:pt>
                <c:pt idx="1">
                  <c:v>9.1999999999999998E-2</c:v>
                </c:pt>
                <c:pt idx="2">
                  <c:v>0.188</c:v>
                </c:pt>
                <c:pt idx="3">
                  <c:v>0.2</c:v>
                </c:pt>
                <c:pt idx="4">
                  <c:v>0.23599999999999999</c:v>
                </c:pt>
                <c:pt idx="5">
                  <c:v>0.27800000000000002</c:v>
                </c:pt>
                <c:pt idx="6">
                  <c:v>0.44400000000000006</c:v>
                </c:pt>
                <c:pt idx="7">
                  <c:v>0.65600000000000003</c:v>
                </c:pt>
                <c:pt idx="8">
                  <c:v>2.1680000000000001</c:v>
                </c:pt>
                <c:pt idx="9">
                  <c:v>0.84599999999999986</c:v>
                </c:pt>
                <c:pt idx="10">
                  <c:v>0.97199999999999986</c:v>
                </c:pt>
                <c:pt idx="11">
                  <c:v>3.66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4-40F9-902C-06B654B6F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Generate free relations </a:t>
            </a:r>
            <a:r>
              <a:rPr lang="en-US" sz="1000" baseline="0"/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Generate free relations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Results'!$E$16:$AO$16</c:f>
              <c:numCache>
                <c:formatCode>General</c:formatCode>
                <c:ptCount val="37"/>
                <c:pt idx="0">
                  <c:v>0.08</c:v>
                </c:pt>
                <c:pt idx="1">
                  <c:v>0.38400000000000001</c:v>
                </c:pt>
                <c:pt idx="2">
                  <c:v>0.75</c:v>
                </c:pt>
                <c:pt idx="3">
                  <c:v>1.5</c:v>
                </c:pt>
                <c:pt idx="4">
                  <c:v>1.5219999999999998</c:v>
                </c:pt>
                <c:pt idx="5">
                  <c:v>1.516</c:v>
                </c:pt>
                <c:pt idx="6">
                  <c:v>3.03</c:v>
                </c:pt>
                <c:pt idx="7">
                  <c:v>6.048</c:v>
                </c:pt>
                <c:pt idx="8">
                  <c:v>6.0619999999999994</c:v>
                </c:pt>
                <c:pt idx="9">
                  <c:v>23.711999999999996</c:v>
                </c:pt>
                <c:pt idx="10">
                  <c:v>12.086000000000002</c:v>
                </c:pt>
                <c:pt idx="11">
                  <c:v>31.919999999999998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8-4034-9539-EA466662D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MurphyE</a:t>
            </a:r>
            <a:r>
              <a:rPr lang="en-US" baseline="0"/>
              <a:t> of poly found</a:t>
            </a:r>
            <a:r>
              <a:rPr lang="en-US" sz="1000" baseline="0"/>
              <a:t> 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MurphyE of poly found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Results'!$E$20:$AO$20</c:f>
              <c:numCache>
                <c:formatCode>General</c:formatCode>
                <c:ptCount val="37"/>
                <c:pt idx="0">
                  <c:v>8.8120000000000003E-5</c:v>
                </c:pt>
                <c:pt idx="1">
                  <c:v>4.0340000000000008E-7</c:v>
                </c:pt>
                <c:pt idx="2">
                  <c:v>3.432E-7</c:v>
                </c:pt>
                <c:pt idx="3">
                  <c:v>1.8420000000000002E-7</c:v>
                </c:pt>
                <c:pt idx="4">
                  <c:v>5.9119999999999996E-8</c:v>
                </c:pt>
                <c:pt idx="5">
                  <c:v>3.5140000000000002E-8</c:v>
                </c:pt>
                <c:pt idx="6">
                  <c:v>3.372E-8</c:v>
                </c:pt>
                <c:pt idx="7">
                  <c:v>2.0079999999999998E-8</c:v>
                </c:pt>
                <c:pt idx="8">
                  <c:v>3.6740000000000003E-8</c:v>
                </c:pt>
                <c:pt idx="9">
                  <c:v>9.8199999999999996E-9</c:v>
                </c:pt>
                <c:pt idx="10">
                  <c:v>4.5280000000000001E-9</c:v>
                </c:pt>
                <c:pt idx="11">
                  <c:v>5.0079999999999992E-9</c:v>
                </c:pt>
                <c:pt idx="12">
                  <c:v>2.0780000000000001E-9</c:v>
                </c:pt>
                <c:pt idx="13">
                  <c:v>1.8E-9</c:v>
                </c:pt>
                <c:pt idx="14">
                  <c:v>6.344E-10</c:v>
                </c:pt>
                <c:pt idx="15">
                  <c:v>1.742E-9</c:v>
                </c:pt>
                <c:pt idx="16">
                  <c:v>3.8920000000000001E-10</c:v>
                </c:pt>
                <c:pt idx="17">
                  <c:v>8.5660000000000002E-10</c:v>
                </c:pt>
                <c:pt idx="18">
                  <c:v>2.98E-10</c:v>
                </c:pt>
                <c:pt idx="19">
                  <c:v>3.482E-10</c:v>
                </c:pt>
                <c:pt idx="20">
                  <c:v>8.7059999999999982E-11</c:v>
                </c:pt>
                <c:pt idx="21">
                  <c:v>6.5140000000000007E-11</c:v>
                </c:pt>
                <c:pt idx="22">
                  <c:v>3.8060000000000002E-11</c:v>
                </c:pt>
                <c:pt idx="23">
                  <c:v>1.3660000000000003E-11</c:v>
                </c:pt>
                <c:pt idx="24">
                  <c:v>9.8679999999999996E-12</c:v>
                </c:pt>
                <c:pt idx="25">
                  <c:v>3.7460000000000006E-11</c:v>
                </c:pt>
                <c:pt idx="26">
                  <c:v>4.552E-12</c:v>
                </c:pt>
                <c:pt idx="27">
                  <c:v>8.8660000000000004E-12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C-47EF-B4FD-64F86BD3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Lattice sieving </a:t>
            </a:r>
            <a:r>
              <a:rPr lang="en-US" sz="1000" baseline="0"/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Lattice sieving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Results'!$E$25:$AO$25</c:f>
              <c:numCache>
                <c:formatCode>General</c:formatCode>
                <c:ptCount val="37"/>
                <c:pt idx="0">
                  <c:v>1.484</c:v>
                </c:pt>
                <c:pt idx="1">
                  <c:v>32.396000000000001</c:v>
                </c:pt>
                <c:pt idx="2">
                  <c:v>62.172000000000004</c:v>
                </c:pt>
                <c:pt idx="3">
                  <c:v>99.792000000000002</c:v>
                </c:pt>
                <c:pt idx="4">
                  <c:v>214.33</c:v>
                </c:pt>
                <c:pt idx="5">
                  <c:v>459.06599999999997</c:v>
                </c:pt>
                <c:pt idx="6">
                  <c:v>800.00400000000002</c:v>
                </c:pt>
                <c:pt idx="7">
                  <c:v>1600.1979999999999</c:v>
                </c:pt>
                <c:pt idx="8">
                  <c:v>4445.3599999999988</c:v>
                </c:pt>
                <c:pt idx="9">
                  <c:v>33549.960000000006</c:v>
                </c:pt>
                <c:pt idx="10">
                  <c:v>69998.86</c:v>
                </c:pt>
                <c:pt idx="11">
                  <c:v>26545.8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4-45BB-A5A0-4BE157695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Duplicate removal,</a:t>
            </a:r>
            <a:r>
              <a:rPr lang="en-US" baseline="0"/>
              <a:t> splitting pass</a:t>
            </a:r>
          </a:p>
          <a:p>
            <a:pPr>
              <a:defRPr/>
            </a:pPr>
            <a:r>
              <a:rPr lang="en-US" sz="1000" baseline="0"/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Duplicate removal, splitting pass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Results'!$E$38:$AO$38</c:f>
              <c:numCache>
                <c:formatCode>General</c:formatCode>
                <c:ptCount val="37"/>
                <c:pt idx="0">
                  <c:v>0.10600000000000001</c:v>
                </c:pt>
                <c:pt idx="1">
                  <c:v>0.13200000000000001</c:v>
                </c:pt>
                <c:pt idx="2">
                  <c:v>0.26</c:v>
                </c:pt>
                <c:pt idx="3">
                  <c:v>0.63600000000000012</c:v>
                </c:pt>
                <c:pt idx="4">
                  <c:v>0.59799999999999998</c:v>
                </c:pt>
                <c:pt idx="5">
                  <c:v>0.72600000000000009</c:v>
                </c:pt>
                <c:pt idx="6">
                  <c:v>1.1819999999999999</c:v>
                </c:pt>
                <c:pt idx="7">
                  <c:v>2.4019999999999997</c:v>
                </c:pt>
                <c:pt idx="8">
                  <c:v>1.9059999999999999</c:v>
                </c:pt>
                <c:pt idx="9">
                  <c:v>5.9799999999999995</c:v>
                </c:pt>
                <c:pt idx="10">
                  <c:v>5.104000000000001</c:v>
                </c:pt>
                <c:pt idx="11">
                  <c:v>8.2940000000000005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7-49D3-8301-4620E7856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Duplicate removal, removal pass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000" b="0" i="0" baseline="0">
                <a:effectLst/>
              </a:rPr>
              <a:t>(log display)</a:t>
            </a:r>
            <a:endParaRPr lang="en-US" sz="1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Duplicate removal, removal pass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Results'!$E$39:$AO$39</c:f>
              <c:numCache>
                <c:formatCode>General</c:formatCode>
                <c:ptCount val="37"/>
                <c:pt idx="0">
                  <c:v>0.24400000000000005</c:v>
                </c:pt>
                <c:pt idx="1">
                  <c:v>0.32</c:v>
                </c:pt>
                <c:pt idx="2">
                  <c:v>0.66399999999999992</c:v>
                </c:pt>
                <c:pt idx="3">
                  <c:v>1.264</c:v>
                </c:pt>
                <c:pt idx="4">
                  <c:v>1.9019999999999999</c:v>
                </c:pt>
                <c:pt idx="5">
                  <c:v>2.7120000000000002</c:v>
                </c:pt>
                <c:pt idx="6">
                  <c:v>5.0440000000000005</c:v>
                </c:pt>
                <c:pt idx="7">
                  <c:v>8.0020000000000007</c:v>
                </c:pt>
                <c:pt idx="8">
                  <c:v>6.8260000000000005</c:v>
                </c:pt>
                <c:pt idx="9">
                  <c:v>21.89</c:v>
                </c:pt>
                <c:pt idx="10">
                  <c:v>27.82</c:v>
                </c:pt>
                <c:pt idx="11">
                  <c:v>41.353999999999999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E-497E-BDB0-8F5862AA9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Singleton</a:t>
            </a:r>
            <a:r>
              <a:rPr lang="en-US" sz="1400" baseline="0"/>
              <a:t> removal</a:t>
            </a:r>
          </a:p>
          <a:p>
            <a:pPr>
              <a:defRPr/>
            </a:pPr>
            <a:r>
              <a:rPr lang="en-US" sz="1000" baseline="0"/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Singleton removal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Results'!$E$40:$AO$40</c:f>
              <c:numCache>
                <c:formatCode>General</c:formatCode>
                <c:ptCount val="37"/>
                <c:pt idx="0">
                  <c:v>0.64399999999999991</c:v>
                </c:pt>
                <c:pt idx="1">
                  <c:v>0.59199999999999997</c:v>
                </c:pt>
                <c:pt idx="2">
                  <c:v>1.2399999999999998</c:v>
                </c:pt>
                <c:pt idx="3">
                  <c:v>1.92</c:v>
                </c:pt>
                <c:pt idx="4">
                  <c:v>1.6060000000000003</c:v>
                </c:pt>
                <c:pt idx="5">
                  <c:v>2.3600000000000003</c:v>
                </c:pt>
                <c:pt idx="6">
                  <c:v>4.2</c:v>
                </c:pt>
                <c:pt idx="7">
                  <c:v>6.1859999999999999</c:v>
                </c:pt>
                <c:pt idx="8">
                  <c:v>6.6760000000000002</c:v>
                </c:pt>
                <c:pt idx="9">
                  <c:v>18.324000000000002</c:v>
                </c:pt>
                <c:pt idx="10">
                  <c:v>22.332000000000001</c:v>
                </c:pt>
                <c:pt idx="11">
                  <c:v>27.456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A-4081-8696-8694A9DC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Merging: merge </a:t>
            </a:r>
            <a:r>
              <a:rPr lang="en-US" sz="1000" baseline="0"/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Merging: merge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Results'!$E$41:$AO$41</c:f>
              <c:numCache>
                <c:formatCode>General</c:formatCode>
                <c:ptCount val="37"/>
                <c:pt idx="0">
                  <c:v>8.7999999999999995E-2</c:v>
                </c:pt>
                <c:pt idx="1">
                  <c:v>0.76400000000000001</c:v>
                </c:pt>
                <c:pt idx="2">
                  <c:v>1.4</c:v>
                </c:pt>
                <c:pt idx="3">
                  <c:v>2.35</c:v>
                </c:pt>
                <c:pt idx="4">
                  <c:v>6.2980000000000009</c:v>
                </c:pt>
                <c:pt idx="5">
                  <c:v>8.113999999999999</c:v>
                </c:pt>
                <c:pt idx="6">
                  <c:v>14.681999999999999</c:v>
                </c:pt>
                <c:pt idx="7">
                  <c:v>24.523999999999997</c:v>
                </c:pt>
                <c:pt idx="8">
                  <c:v>29.619999999999997</c:v>
                </c:pt>
                <c:pt idx="9">
                  <c:v>69.828000000000003</c:v>
                </c:pt>
                <c:pt idx="10">
                  <c:v>115.08600000000001</c:v>
                </c:pt>
                <c:pt idx="11">
                  <c:v>141.83599999999998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FD-4B56-8E61-32DAE9638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Merging: replay </a:t>
            </a:r>
            <a:r>
              <a:rPr lang="en-US" sz="1000" baseline="0">
                <a:latin typeface="+mn-lt"/>
              </a:rPr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Merging: replay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Results'!$E$42:$AO$42</c:f>
              <c:numCache>
                <c:formatCode>General</c:formatCode>
                <c:ptCount val="37"/>
                <c:pt idx="0">
                  <c:v>0.02</c:v>
                </c:pt>
                <c:pt idx="1">
                  <c:v>0.16600000000000001</c:v>
                </c:pt>
                <c:pt idx="2">
                  <c:v>0.27600000000000002</c:v>
                </c:pt>
                <c:pt idx="3">
                  <c:v>0.44399999999999995</c:v>
                </c:pt>
                <c:pt idx="4">
                  <c:v>1.0400000000000003</c:v>
                </c:pt>
                <c:pt idx="5">
                  <c:v>1.3379999999999999</c:v>
                </c:pt>
                <c:pt idx="6">
                  <c:v>2.25</c:v>
                </c:pt>
                <c:pt idx="7">
                  <c:v>3.3839999999999995</c:v>
                </c:pt>
                <c:pt idx="8">
                  <c:v>3.4800000000000004</c:v>
                </c:pt>
                <c:pt idx="9">
                  <c:v>7.347999999999999</c:v>
                </c:pt>
                <c:pt idx="10">
                  <c:v>13.884000000000004</c:v>
                </c:pt>
                <c:pt idx="11">
                  <c:v>14.516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1-4843-8228-3B43F1701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Linear Algebra: Total </a:t>
            </a:r>
            <a:r>
              <a:rPr lang="en-US" sz="1000" baseline="0">
                <a:latin typeface="+mn-lt"/>
              </a:rPr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Linear Algebra: 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Results'!$E$47:$AO$47</c:f>
              <c:numCache>
                <c:formatCode>General</c:formatCode>
                <c:ptCount val="37"/>
                <c:pt idx="0">
                  <c:v>0.59199999999999997</c:v>
                </c:pt>
                <c:pt idx="1">
                  <c:v>1.542</c:v>
                </c:pt>
                <c:pt idx="2">
                  <c:v>2.1840000000000002</c:v>
                </c:pt>
                <c:pt idx="3">
                  <c:v>3.47</c:v>
                </c:pt>
                <c:pt idx="4">
                  <c:v>12.108000000000001</c:v>
                </c:pt>
                <c:pt idx="5">
                  <c:v>19.369999999999997</c:v>
                </c:pt>
                <c:pt idx="6">
                  <c:v>51.23599999999999</c:v>
                </c:pt>
                <c:pt idx="7">
                  <c:v>94.585999999999999</c:v>
                </c:pt>
                <c:pt idx="8">
                  <c:v>103.97200000000001</c:v>
                </c:pt>
                <c:pt idx="9">
                  <c:v>588.59399999999994</c:v>
                </c:pt>
                <c:pt idx="10">
                  <c:v>1278.4599999999998</c:v>
                </c:pt>
                <c:pt idx="11">
                  <c:v>1996.2780000000002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3-410E-90D6-C4A82543B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Quadratic </a:t>
            </a:r>
            <a:r>
              <a:rPr lang="en-US" sz="1000" baseline="0">
                <a:latin typeface="+mn-lt"/>
              </a:rPr>
              <a:t>(log display)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Quadratic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Results'!$E$48:$AO$48</c:f>
              <c:numCache>
                <c:formatCode>General</c:formatCode>
                <c:ptCount val="37"/>
                <c:pt idx="0">
                  <c:v>0.02</c:v>
                </c:pt>
                <c:pt idx="1">
                  <c:v>0.16</c:v>
                </c:pt>
                <c:pt idx="2">
                  <c:v>0.26200000000000001</c:v>
                </c:pt>
                <c:pt idx="3">
                  <c:v>0.39600000000000002</c:v>
                </c:pt>
                <c:pt idx="4">
                  <c:v>0.90999999999999992</c:v>
                </c:pt>
                <c:pt idx="5">
                  <c:v>1.1179999999999999</c:v>
                </c:pt>
                <c:pt idx="6">
                  <c:v>1.94</c:v>
                </c:pt>
                <c:pt idx="7">
                  <c:v>2.8260000000000001</c:v>
                </c:pt>
                <c:pt idx="8">
                  <c:v>2.8759999999999999</c:v>
                </c:pt>
                <c:pt idx="9">
                  <c:v>5.8039999999999994</c:v>
                </c:pt>
                <c:pt idx="10">
                  <c:v>8.468</c:v>
                </c:pt>
                <c:pt idx="11">
                  <c:v>11.744000000000002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C-4D03-B229-ADE961EC6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latin typeface="+mn-lt"/>
              </a:rPr>
              <a:t>Square root </a:t>
            </a:r>
            <a:r>
              <a:rPr lang="en-US" sz="1000" b="0" i="0" baseline="0">
                <a:effectLst/>
              </a:rPr>
              <a:t>(log display)</a:t>
            </a:r>
            <a:endParaRPr lang="en-US" sz="10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Square root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Results'!$E$49:$AO$49</c:f>
              <c:numCache>
                <c:formatCode>General</c:formatCode>
                <c:ptCount val="37"/>
                <c:pt idx="0">
                  <c:v>0.126</c:v>
                </c:pt>
                <c:pt idx="1">
                  <c:v>0.82599999999999996</c:v>
                </c:pt>
                <c:pt idx="2">
                  <c:v>1.1960000000000002</c:v>
                </c:pt>
                <c:pt idx="3">
                  <c:v>1.3699999999999999</c:v>
                </c:pt>
                <c:pt idx="4">
                  <c:v>5.2319999999999993</c:v>
                </c:pt>
                <c:pt idx="5">
                  <c:v>5.4379999999999997</c:v>
                </c:pt>
                <c:pt idx="6">
                  <c:v>8.6720000000000006</c:v>
                </c:pt>
                <c:pt idx="7">
                  <c:v>18.463999999999999</c:v>
                </c:pt>
                <c:pt idx="8">
                  <c:v>16.678000000000001</c:v>
                </c:pt>
                <c:pt idx="9">
                  <c:v>29.718</c:v>
                </c:pt>
                <c:pt idx="10">
                  <c:v>47.995999999999995</c:v>
                </c:pt>
                <c:pt idx="11">
                  <c:v>117.744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2-4CDE-B8EC-D3A4D2160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0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weighting of time in each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'Index of Results'!$C$56</c:f>
              <c:strCache>
                <c:ptCount val="1"/>
                <c:pt idx="0">
                  <c:v>Polynomial selection</c:v>
                </c:pt>
              </c:strCache>
            </c:strRef>
          </c:tx>
          <c:spPr>
            <a:solidFill>
              <a:srgbClr val="C6EFCE"/>
            </a:solidFill>
            <a:ln>
              <a:noFill/>
            </a:ln>
            <a:effectLst/>
          </c:spPr>
          <c:cat>
            <c:strRef>
              <c:f>'Index of Results'!$E$2:$P$2</c:f>
              <c:strCache>
                <c:ptCount val="12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</c:strCache>
            </c:strRef>
          </c:cat>
          <c:val>
            <c:numRef>
              <c:f>'Index of Results'!$E$56:$P$56</c:f>
              <c:numCache>
                <c:formatCode>0.0%</c:formatCode>
                <c:ptCount val="12"/>
                <c:pt idx="0">
                  <c:v>5.2936000255725257E-2</c:v>
                </c:pt>
                <c:pt idx="1">
                  <c:v>0.17241342505794038</c:v>
                </c:pt>
                <c:pt idx="2">
                  <c:v>0.14958626717477311</c:v>
                </c:pt>
                <c:pt idx="3">
                  <c:v>0.14550822357360263</c:v>
                </c:pt>
                <c:pt idx="4">
                  <c:v>0.1077833168741936</c:v>
                </c:pt>
                <c:pt idx="5">
                  <c:v>5.7303250982781953E-2</c:v>
                </c:pt>
                <c:pt idx="6">
                  <c:v>6.2953071969085908E-2</c:v>
                </c:pt>
                <c:pt idx="7">
                  <c:v>6.3790663683997703E-2</c:v>
                </c:pt>
                <c:pt idx="8">
                  <c:v>2.651722143996546E-2</c:v>
                </c:pt>
                <c:pt idx="9">
                  <c:v>1.3293840540837421E-2</c:v>
                </c:pt>
                <c:pt idx="10">
                  <c:v>1.3903831601491588E-2</c:v>
                </c:pt>
                <c:pt idx="11">
                  <c:v>4.9473102536779938E-2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8-4862-A9AB-2EDA3183EF21}"/>
            </c:ext>
          </c:extLst>
        </c:ser>
        <c:ser>
          <c:idx val="1"/>
          <c:order val="1"/>
          <c:tx>
            <c:strRef>
              <c:f>'Index of Results'!$C$57</c:f>
              <c:strCache>
                <c:ptCount val="1"/>
                <c:pt idx="0">
                  <c:v>Lattice Sieving</c:v>
                </c:pt>
              </c:strCache>
            </c:strRef>
          </c:tx>
          <c:spPr>
            <a:solidFill>
              <a:srgbClr val="BDD7EE"/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C8-4862-A9AB-2EDA3183EF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C8-4862-A9AB-2EDA3183EF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C8-4862-A9AB-2EDA3183EF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C8-4862-A9AB-2EDA3183EF2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C8-4862-A9AB-2EDA3183EF2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660A6BD-26DA-463C-850F-F9DCC18E98E0}" type="SERIESNAME">
                      <a:rPr lang="en-US" baseline="0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37C8-4862-A9AB-2EDA3183EF2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C8-4862-A9AB-2EDA3183EF2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C8-4862-A9AB-2EDA3183EF2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C8-4862-A9AB-2EDA3183EF2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C8-4862-A9AB-2EDA3183EF2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C8-4862-A9AB-2EDA3183EF2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C8-4862-A9AB-2EDA3183EF2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'Index of Results'!$E$2:$P$2</c:f>
              <c:strCache>
                <c:ptCount val="12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</c:strCache>
            </c:strRef>
          </c:cat>
          <c:val>
            <c:numRef>
              <c:f>'Index of Results'!$E$57:$P$57</c:f>
              <c:numCache>
                <c:formatCode>0.0%</c:formatCode>
                <c:ptCount val="12"/>
                <c:pt idx="0">
                  <c:v>0.42153537138116715</c:v>
                </c:pt>
                <c:pt idx="1">
                  <c:v>0.72663547196159095</c:v>
                </c:pt>
                <c:pt idx="2">
                  <c:v>0.75901961255559969</c:v>
                </c:pt>
                <c:pt idx="3">
                  <c:v>0.76345346406704917</c:v>
                </c:pt>
                <c:pt idx="4">
                  <c:v>0.78370757007432268</c:v>
                </c:pt>
                <c:pt idx="5">
                  <c:v>0.86455993438865364</c:v>
                </c:pt>
                <c:pt idx="6">
                  <c:v>0.84278575911979559</c:v>
                </c:pt>
                <c:pt idx="7">
                  <c:v>0.85028946892054491</c:v>
                </c:pt>
                <c:pt idx="8">
                  <c:v>0.93738249834120135</c:v>
                </c:pt>
                <c:pt idx="9">
                  <c:v>0.92948642471374399</c:v>
                </c:pt>
                <c:pt idx="10">
                  <c:v>0.92777185234454973</c:v>
                </c:pt>
                <c:pt idx="11">
                  <c:v>0.87318679157400536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8-4862-A9AB-2EDA3183EF21}"/>
            </c:ext>
          </c:extLst>
        </c:ser>
        <c:ser>
          <c:idx val="2"/>
          <c:order val="2"/>
          <c:tx>
            <c:strRef>
              <c:f>'Index of Results'!$C$58</c:f>
              <c:strCache>
                <c:ptCount val="1"/>
                <c:pt idx="0">
                  <c:v>Filtering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cat>
            <c:strRef>
              <c:f>'Index of Results'!$E$2:$P$2</c:f>
              <c:strCache>
                <c:ptCount val="12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</c:strCache>
            </c:strRef>
          </c:cat>
          <c:val>
            <c:numRef>
              <c:f>'Index of Results'!$E$58:$P$58</c:f>
              <c:numCache>
                <c:formatCode>0.0%</c:formatCode>
                <c:ptCount val="12"/>
                <c:pt idx="0">
                  <c:v>0.31062384015911254</c:v>
                </c:pt>
                <c:pt idx="1">
                  <c:v>4.4327102671177267E-2</c:v>
                </c:pt>
                <c:pt idx="2">
                  <c:v>4.6956941708939125E-2</c:v>
                </c:pt>
                <c:pt idx="3">
                  <c:v>5.0954730614881059E-2</c:v>
                </c:pt>
                <c:pt idx="4">
                  <c:v>4.1913525375244752E-2</c:v>
                </c:pt>
                <c:pt idx="5">
                  <c:v>2.887158716248641E-2</c:v>
                </c:pt>
                <c:pt idx="6">
                  <c:v>2.8927809630100915E-2</c:v>
                </c:pt>
                <c:pt idx="7">
                  <c:v>2.3723884898388191E-2</c:v>
                </c:pt>
                <c:pt idx="8">
                  <c:v>1.0359379172653765E-2</c:v>
                </c:pt>
                <c:pt idx="9">
                  <c:v>9.8607219210515851E-3</c:v>
                </c:pt>
                <c:pt idx="10">
                  <c:v>7.1139721542348971E-3</c:v>
                </c:pt>
                <c:pt idx="11">
                  <c:v>7.6788730919655299E-3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8-4862-A9AB-2EDA3183EF21}"/>
            </c:ext>
          </c:extLst>
        </c:ser>
        <c:ser>
          <c:idx val="3"/>
          <c:order val="3"/>
          <c:tx>
            <c:strRef>
              <c:f>'Index of Results'!$C$59</c:f>
              <c:strCache>
                <c:ptCount val="1"/>
                <c:pt idx="0">
                  <c:v>Linear Algebra</c:v>
                </c:pt>
              </c:strCache>
            </c:strRef>
          </c:tx>
          <c:spPr>
            <a:solidFill>
              <a:srgbClr val="FFC7CE"/>
            </a:solidFill>
            <a:ln>
              <a:noFill/>
            </a:ln>
            <a:effectLst/>
          </c:spPr>
          <c:cat>
            <c:strRef>
              <c:f>'Index of Results'!$E$2:$P$2</c:f>
              <c:strCache>
                <c:ptCount val="12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</c:strCache>
            </c:strRef>
          </c:cat>
          <c:val>
            <c:numRef>
              <c:f>'Index of Results'!$E$59:$P$59</c:f>
              <c:numCache>
                <c:formatCode>0.0%</c:formatCode>
                <c:ptCount val="12"/>
                <c:pt idx="0">
                  <c:v>0.21487986875137527</c:v>
                </c:pt>
                <c:pt idx="1">
                  <c:v>5.6623991202416582E-2</c:v>
                </c:pt>
                <c:pt idx="2">
                  <c:v>4.443717435114538E-2</c:v>
                </c:pt>
                <c:pt idx="3">
                  <c:v>4.0083580307858413E-2</c:v>
                </c:pt>
                <c:pt idx="4">
                  <c:v>6.6595587459869487E-2</c:v>
                </c:pt>
                <c:pt idx="5">
                  <c:v>4.9265227399375021E-2</c:v>
                </c:pt>
                <c:pt idx="6">
                  <c:v>6.5333359245138306E-2</c:v>
                </c:pt>
                <c:pt idx="7">
                  <c:v>6.2195982486362156E-2</c:v>
                </c:pt>
                <c:pt idx="8">
                  <c:v>2.5740901038184653E-2</c:v>
                </c:pt>
                <c:pt idx="9">
                  <c:v>4.7359012823531693E-2</c:v>
                </c:pt>
                <c:pt idx="10">
                  <c:v>5.1210343899537866E-2</c:v>
                </c:pt>
                <c:pt idx="11">
                  <c:v>6.9661232797083722E-2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8-4862-A9AB-2EDA3183E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606480"/>
        <c:axId val="830604184"/>
      </c:areaChart>
      <c:catAx>
        <c:axId val="83060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04184"/>
        <c:crosses val="autoZero"/>
        <c:auto val="1"/>
        <c:lblAlgn val="ctr"/>
        <c:lblOffset val="100"/>
        <c:noMultiLvlLbl val="0"/>
      </c:catAx>
      <c:valAx>
        <c:axId val="83060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0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Root optimization</a:t>
            </a:r>
            <a:r>
              <a:rPr lang="en-US" sz="1100"/>
              <a:t> (log display)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Root optimization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'Index of Results'!$E$2:$AO$2</c:f>
              <c:strCache>
                <c:ptCount val="37"/>
                <c:pt idx="0">
                  <c:v>c30</c:v>
                </c:pt>
                <c:pt idx="1">
                  <c:v>c60</c:v>
                </c:pt>
                <c:pt idx="2">
                  <c:v>c65</c:v>
                </c:pt>
                <c:pt idx="3">
                  <c:v>c70</c:v>
                </c:pt>
                <c:pt idx="4">
                  <c:v>c75</c:v>
                </c:pt>
                <c:pt idx="5">
                  <c:v>c80</c:v>
                </c:pt>
                <c:pt idx="6">
                  <c:v>c85</c:v>
                </c:pt>
                <c:pt idx="7">
                  <c:v>c90</c:v>
                </c:pt>
                <c:pt idx="8">
                  <c:v>c95</c:v>
                </c:pt>
                <c:pt idx="9">
                  <c:v>c100</c:v>
                </c:pt>
                <c:pt idx="10">
                  <c:v>c105</c:v>
                </c:pt>
                <c:pt idx="11">
                  <c:v>c110</c:v>
                </c:pt>
                <c:pt idx="12">
                  <c:v>c115</c:v>
                </c:pt>
                <c:pt idx="13">
                  <c:v>c120</c:v>
                </c:pt>
                <c:pt idx="14">
                  <c:v>c125</c:v>
                </c:pt>
                <c:pt idx="15">
                  <c:v>c130</c:v>
                </c:pt>
                <c:pt idx="16">
                  <c:v>c135</c:v>
                </c:pt>
                <c:pt idx="17">
                  <c:v>c140</c:v>
                </c:pt>
                <c:pt idx="18">
                  <c:v>c145</c:v>
                </c:pt>
                <c:pt idx="19">
                  <c:v>c150</c:v>
                </c:pt>
                <c:pt idx="20">
                  <c:v>c155</c:v>
                </c:pt>
                <c:pt idx="21">
                  <c:v>c160</c:v>
                </c:pt>
                <c:pt idx="22">
                  <c:v>c165</c:v>
                </c:pt>
                <c:pt idx="23">
                  <c:v>c170</c:v>
                </c:pt>
                <c:pt idx="24">
                  <c:v>c175</c:v>
                </c:pt>
                <c:pt idx="25">
                  <c:v>c180</c:v>
                </c:pt>
                <c:pt idx="26">
                  <c:v>c185</c:v>
                </c:pt>
                <c:pt idx="27">
                  <c:v>c190</c:v>
                </c:pt>
                <c:pt idx="28">
                  <c:v>c195</c:v>
                </c:pt>
                <c:pt idx="29">
                  <c:v>c200</c:v>
                </c:pt>
                <c:pt idx="30">
                  <c:v>c205</c:v>
                </c:pt>
                <c:pt idx="31">
                  <c:v>c210</c:v>
                </c:pt>
                <c:pt idx="32">
                  <c:v>c220</c:v>
                </c:pt>
                <c:pt idx="33">
                  <c:v>c230</c:v>
                </c:pt>
                <c:pt idx="34">
                  <c:v>c270</c:v>
                </c:pt>
                <c:pt idx="35">
                  <c:v>c310</c:v>
                </c:pt>
                <c:pt idx="36">
                  <c:v>c320</c:v>
                </c:pt>
              </c:strCache>
            </c:strRef>
          </c:cat>
          <c:val>
            <c:numRef>
              <c:f>'Index of Results'!$E$12:$AO$12</c:f>
              <c:numCache>
                <c:formatCode>General</c:formatCode>
                <c:ptCount val="37"/>
                <c:pt idx="0">
                  <c:v>6.9999999999999993E-2</c:v>
                </c:pt>
                <c:pt idx="1">
                  <c:v>6.218</c:v>
                </c:pt>
                <c:pt idx="2">
                  <c:v>9.3239999999999998</c:v>
                </c:pt>
                <c:pt idx="3">
                  <c:v>13.315999999999999</c:v>
                </c:pt>
                <c:pt idx="4">
                  <c:v>19.660000000000004</c:v>
                </c:pt>
                <c:pt idx="5">
                  <c:v>22.342000000000002</c:v>
                </c:pt>
                <c:pt idx="6">
                  <c:v>34.322000000000003</c:v>
                </c:pt>
                <c:pt idx="7">
                  <c:v>47.258000000000003</c:v>
                </c:pt>
                <c:pt idx="8">
                  <c:v>49.178000000000004</c:v>
                </c:pt>
                <c:pt idx="9">
                  <c:v>73.217999999999989</c:v>
                </c:pt>
                <c:pt idx="10">
                  <c:v>149.244</c:v>
                </c:pt>
                <c:pt idx="11">
                  <c:v>347.70600000000002</c:v>
                </c:pt>
                <c:pt idx="12">
                  <c:v>221.70999999999998</c:v>
                </c:pt>
                <c:pt idx="13">
                  <c:v>538.16599999999994</c:v>
                </c:pt>
                <c:pt idx="14">
                  <c:v>1414.5540000000001</c:v>
                </c:pt>
                <c:pt idx="15">
                  <c:v>2721.2780000000002</c:v>
                </c:pt>
                <c:pt idx="16">
                  <c:v>3575.9139999999998</c:v>
                </c:pt>
                <c:pt idx="17">
                  <c:v>4252.116</c:v>
                </c:pt>
                <c:pt idx="18">
                  <c:v>2541.1059999999998</c:v>
                </c:pt>
                <c:pt idx="19">
                  <c:v>6808.0400000000009</c:v>
                </c:pt>
                <c:pt idx="20">
                  <c:v>7946.2619999999997</c:v>
                </c:pt>
                <c:pt idx="21">
                  <c:v>6653.4179999999997</c:v>
                </c:pt>
                <c:pt idx="22">
                  <c:v>5894.7060000000001</c:v>
                </c:pt>
                <c:pt idx="23">
                  <c:v>6990.68</c:v>
                </c:pt>
                <c:pt idx="24">
                  <c:v>6005.8200000000006</c:v>
                </c:pt>
                <c:pt idx="25">
                  <c:v>9445.86</c:v>
                </c:pt>
                <c:pt idx="26">
                  <c:v>8454.6499999999978</c:v>
                </c:pt>
                <c:pt idx="27">
                  <c:v>12756.58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F-4777-8B8A-80E17057A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069912"/>
        <c:axId val="781070240"/>
      </c:barChart>
      <c:catAx>
        <c:axId val="78106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70240"/>
        <c:crossesAt val="1.0000000000000002E-3"/>
        <c:auto val="1"/>
        <c:lblAlgn val="ctr"/>
        <c:lblOffset val="100"/>
        <c:noMultiLvlLbl val="0"/>
      </c:catAx>
      <c:valAx>
        <c:axId val="78107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6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44</xdr:row>
      <xdr:rowOff>0</xdr:rowOff>
    </xdr:from>
    <xdr:to>
      <xdr:col>14</xdr:col>
      <xdr:colOff>45720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B0D42-9C8F-4577-B0A9-E1276E8FF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62</xdr:row>
      <xdr:rowOff>0</xdr:rowOff>
    </xdr:from>
    <xdr:to>
      <xdr:col>14</xdr:col>
      <xdr:colOff>45720</xdr:colOff>
      <xdr:row>77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FAD12-425F-4220-9DBF-90A2D30D0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80</xdr:row>
      <xdr:rowOff>0</xdr:rowOff>
    </xdr:from>
    <xdr:to>
      <xdr:col>14</xdr:col>
      <xdr:colOff>45720</xdr:colOff>
      <xdr:row>95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1AF899-331E-4C0C-8E4D-9491B3E4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98</xdr:row>
      <xdr:rowOff>0</xdr:rowOff>
    </xdr:from>
    <xdr:to>
      <xdr:col>14</xdr:col>
      <xdr:colOff>45720</xdr:colOff>
      <xdr:row>113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D813FB-F3A3-4CA4-99D0-BC588281B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116</xdr:row>
      <xdr:rowOff>0</xdr:rowOff>
    </xdr:from>
    <xdr:to>
      <xdr:col>14</xdr:col>
      <xdr:colOff>45720</xdr:colOff>
      <xdr:row>131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561F6E-9FC2-4254-B4DA-82C1934D2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134</xdr:row>
      <xdr:rowOff>0</xdr:rowOff>
    </xdr:from>
    <xdr:to>
      <xdr:col>14</xdr:col>
      <xdr:colOff>45720</xdr:colOff>
      <xdr:row>149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ADB277-E47E-4638-A1F3-6C9570B3E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152</xdr:row>
      <xdr:rowOff>0</xdr:rowOff>
    </xdr:from>
    <xdr:to>
      <xdr:col>14</xdr:col>
      <xdr:colOff>45720</xdr:colOff>
      <xdr:row>167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772BDF-FC54-4627-8A83-DF5C6B1B1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335280</xdr:colOff>
      <xdr:row>156</xdr:row>
      <xdr:rowOff>15240</xdr:rowOff>
    </xdr:from>
    <xdr:to>
      <xdr:col>11</xdr:col>
      <xdr:colOff>22860</xdr:colOff>
      <xdr:row>157</xdr:row>
      <xdr:rowOff>152400</xdr:rowOff>
    </xdr:to>
    <xdr:sp macro="" textlink="">
      <xdr:nvSpPr>
        <xdr:cNvPr id="10" name="Speech Bubble: Rectangle with Corners Rounded 9">
          <a:extLst>
            <a:ext uri="{FF2B5EF4-FFF2-40B4-BE49-F238E27FC236}">
              <a16:creationId xmlns:a16="http://schemas.microsoft.com/office/drawing/2014/main" id="{7553CD80-5B16-48B9-85B6-D93F6A070063}"/>
            </a:ext>
          </a:extLst>
        </xdr:cNvPr>
        <xdr:cNvSpPr/>
      </xdr:nvSpPr>
      <xdr:spPr>
        <a:xfrm>
          <a:off x="4572000" y="28544520"/>
          <a:ext cx="579120" cy="320040"/>
        </a:xfrm>
        <a:prstGeom prst="wedgeRoundRectCallout">
          <a:avLst>
            <a:gd name="adj1" fmla="val 74265"/>
            <a:gd name="adj2" fmla="val 117262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27720</a:t>
          </a:r>
        </a:p>
      </xdr:txBody>
    </xdr:sp>
    <xdr:clientData/>
  </xdr:twoCellAnchor>
  <xdr:twoCellAnchor>
    <xdr:from>
      <xdr:col>12</xdr:col>
      <xdr:colOff>7620</xdr:colOff>
      <xdr:row>156</xdr:row>
      <xdr:rowOff>15240</xdr:rowOff>
    </xdr:from>
    <xdr:to>
      <xdr:col>12</xdr:col>
      <xdr:colOff>457200</xdr:colOff>
      <xdr:row>157</xdr:row>
      <xdr:rowOff>152400</xdr:rowOff>
    </xdr:to>
    <xdr:sp macro="" textlink="">
      <xdr:nvSpPr>
        <xdr:cNvPr id="11" name="Speech Bubble: Rectangle with Corners Rounded 10">
          <a:extLst>
            <a:ext uri="{FF2B5EF4-FFF2-40B4-BE49-F238E27FC236}">
              <a16:creationId xmlns:a16="http://schemas.microsoft.com/office/drawing/2014/main" id="{74C1A2BD-D652-46EB-A822-E600EE612C6E}"/>
            </a:ext>
          </a:extLst>
        </xdr:cNvPr>
        <xdr:cNvSpPr/>
      </xdr:nvSpPr>
      <xdr:spPr>
        <a:xfrm>
          <a:off x="5615940" y="28544520"/>
          <a:ext cx="449580" cy="320040"/>
        </a:xfrm>
        <a:prstGeom prst="wedgeRoundRectCallout">
          <a:avLst>
            <a:gd name="adj1" fmla="val -71788"/>
            <a:gd name="adj2" fmla="val 126786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420</a:t>
          </a:r>
        </a:p>
      </xdr:txBody>
    </xdr:sp>
    <xdr:clientData/>
  </xdr:twoCellAnchor>
  <xdr:twoCellAnchor>
    <xdr:from>
      <xdr:col>8</xdr:col>
      <xdr:colOff>304800</xdr:colOff>
      <xdr:row>160</xdr:row>
      <xdr:rowOff>30480</xdr:rowOff>
    </xdr:from>
    <xdr:to>
      <xdr:col>9</xdr:col>
      <xdr:colOff>274320</xdr:colOff>
      <xdr:row>161</xdr:row>
      <xdr:rowOff>167640</xdr:rowOff>
    </xdr:to>
    <xdr:sp macro="" textlink="">
      <xdr:nvSpPr>
        <xdr:cNvPr id="12" name="Speech Bubble: Rectangle with Corners Rounded 11">
          <a:extLst>
            <a:ext uri="{FF2B5EF4-FFF2-40B4-BE49-F238E27FC236}">
              <a16:creationId xmlns:a16="http://schemas.microsoft.com/office/drawing/2014/main" id="{B938AD8C-3753-423C-9D43-3AA25B9B8D5C}"/>
            </a:ext>
          </a:extLst>
        </xdr:cNvPr>
        <xdr:cNvSpPr/>
      </xdr:nvSpPr>
      <xdr:spPr>
        <a:xfrm>
          <a:off x="4061460" y="29291280"/>
          <a:ext cx="449580" cy="320040"/>
        </a:xfrm>
        <a:prstGeom prst="wedgeRoundRectCallout">
          <a:avLst>
            <a:gd name="adj1" fmla="val -71788"/>
            <a:gd name="adj2" fmla="val 126786"/>
            <a:gd name="adj3" fmla="val 16667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60</a:t>
          </a:r>
        </a:p>
      </xdr:txBody>
    </xdr:sp>
    <xdr:clientData/>
  </xdr:twoCellAnchor>
  <xdr:twoCellAnchor>
    <xdr:from>
      <xdr:col>3</xdr:col>
      <xdr:colOff>0</xdr:colOff>
      <xdr:row>170</xdr:row>
      <xdr:rowOff>0</xdr:rowOff>
    </xdr:from>
    <xdr:to>
      <xdr:col>14</xdr:col>
      <xdr:colOff>45720</xdr:colOff>
      <xdr:row>185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FBFAED-E250-4545-81A5-745E054A8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188</xdr:row>
      <xdr:rowOff>0</xdr:rowOff>
    </xdr:from>
    <xdr:to>
      <xdr:col>14</xdr:col>
      <xdr:colOff>45720</xdr:colOff>
      <xdr:row>203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FB05CA-202E-4B78-AA0D-92B1F39E0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206</xdr:row>
      <xdr:rowOff>0</xdr:rowOff>
    </xdr:from>
    <xdr:to>
      <xdr:col>14</xdr:col>
      <xdr:colOff>45720</xdr:colOff>
      <xdr:row>221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CD4CD40-93E7-4539-A445-3C09225B6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224</xdr:row>
      <xdr:rowOff>0</xdr:rowOff>
    </xdr:from>
    <xdr:to>
      <xdr:col>14</xdr:col>
      <xdr:colOff>45720</xdr:colOff>
      <xdr:row>239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E270E7E-03F2-4075-9F29-5677B4D29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62</xdr:row>
      <xdr:rowOff>0</xdr:rowOff>
    </xdr:from>
    <xdr:to>
      <xdr:col>14</xdr:col>
      <xdr:colOff>57150</xdr:colOff>
      <xdr:row>77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577A9-6347-43DE-9595-5D668AFD9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98</xdr:row>
      <xdr:rowOff>0</xdr:rowOff>
    </xdr:from>
    <xdr:to>
      <xdr:col>14</xdr:col>
      <xdr:colOff>45720</xdr:colOff>
      <xdr:row>113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821019-F992-4246-9104-162E7A4F9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116</xdr:row>
      <xdr:rowOff>0</xdr:rowOff>
    </xdr:from>
    <xdr:to>
      <xdr:col>14</xdr:col>
      <xdr:colOff>45720</xdr:colOff>
      <xdr:row>131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7D1532-E7E6-4A14-9927-55DDBEFE6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134</xdr:row>
      <xdr:rowOff>0</xdr:rowOff>
    </xdr:from>
    <xdr:to>
      <xdr:col>14</xdr:col>
      <xdr:colOff>45720</xdr:colOff>
      <xdr:row>149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998060-7851-4B95-BA66-2A978DD5C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152</xdr:row>
      <xdr:rowOff>0</xdr:rowOff>
    </xdr:from>
    <xdr:to>
      <xdr:col>14</xdr:col>
      <xdr:colOff>45720</xdr:colOff>
      <xdr:row>167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9ED928-9CB4-4DF5-B013-47125A0AD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170</xdr:row>
      <xdr:rowOff>0</xdr:rowOff>
    </xdr:from>
    <xdr:to>
      <xdr:col>14</xdr:col>
      <xdr:colOff>45720</xdr:colOff>
      <xdr:row>185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CA5871-C363-40F2-8267-21EBDABEB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188</xdr:row>
      <xdr:rowOff>0</xdr:rowOff>
    </xdr:from>
    <xdr:to>
      <xdr:col>14</xdr:col>
      <xdr:colOff>45720</xdr:colOff>
      <xdr:row>203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02764D-B2A2-4F2C-9C93-CDC77E236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206</xdr:row>
      <xdr:rowOff>0</xdr:rowOff>
    </xdr:from>
    <xdr:to>
      <xdr:col>14</xdr:col>
      <xdr:colOff>45720</xdr:colOff>
      <xdr:row>221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76565B-C86A-4916-8F34-BEA7ADDF1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224</xdr:row>
      <xdr:rowOff>0</xdr:rowOff>
    </xdr:from>
    <xdr:to>
      <xdr:col>14</xdr:col>
      <xdr:colOff>45720</xdr:colOff>
      <xdr:row>239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B2A6DB2-432D-4E1C-9C16-CAEDE95BC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242</xdr:row>
      <xdr:rowOff>0</xdr:rowOff>
    </xdr:from>
    <xdr:to>
      <xdr:col>14</xdr:col>
      <xdr:colOff>45720</xdr:colOff>
      <xdr:row>257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316AB35-3AFE-420B-AC73-3C7FED906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260</xdr:row>
      <xdr:rowOff>0</xdr:rowOff>
    </xdr:from>
    <xdr:to>
      <xdr:col>14</xdr:col>
      <xdr:colOff>45720</xdr:colOff>
      <xdr:row>275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CA0B368-2B5E-422B-8DA9-EA962F9F8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278</xdr:row>
      <xdr:rowOff>0</xdr:rowOff>
    </xdr:from>
    <xdr:to>
      <xdr:col>14</xdr:col>
      <xdr:colOff>45720</xdr:colOff>
      <xdr:row>293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040E8E1-77FB-495D-87F9-3C531D017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296</xdr:row>
      <xdr:rowOff>0</xdr:rowOff>
    </xdr:from>
    <xdr:to>
      <xdr:col>14</xdr:col>
      <xdr:colOff>45720</xdr:colOff>
      <xdr:row>311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E7EBE02-F41D-4118-808E-8B6A3591F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0</xdr:colOff>
      <xdr:row>314</xdr:row>
      <xdr:rowOff>0</xdr:rowOff>
    </xdr:from>
    <xdr:to>
      <xdr:col>14</xdr:col>
      <xdr:colOff>47625</xdr:colOff>
      <xdr:row>332</xdr:row>
      <xdr:rowOff>166688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B1E9CAE-AC66-4764-943E-02CAB967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0</xdr:colOff>
      <xdr:row>80</xdr:row>
      <xdr:rowOff>1</xdr:rowOff>
    </xdr:from>
    <xdr:to>
      <xdr:col>14</xdr:col>
      <xdr:colOff>47625</xdr:colOff>
      <xdr:row>95</xdr:row>
      <xdr:rowOff>57151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C3C115C-83AA-40A9-A951-2F68DCE0A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workbookViewId="0">
      <selection activeCell="G6" sqref="G6:H6"/>
    </sheetView>
  </sheetViews>
  <sheetFormatPr defaultColWidth="8.85546875" defaultRowHeight="15" x14ac:dyDescent="0.25"/>
  <cols>
    <col min="1" max="16384" width="8.85546875" style="2"/>
  </cols>
  <sheetData>
    <row r="2" spans="2:11" x14ac:dyDescent="0.25">
      <c r="B2" s="138" t="s">
        <v>1488</v>
      </c>
      <c r="C2" s="138"/>
      <c r="D2" s="138"/>
      <c r="E2" s="138"/>
      <c r="G2" s="39" t="s">
        <v>1489</v>
      </c>
    </row>
    <row r="3" spans="2:11" x14ac:dyDescent="0.25">
      <c r="G3" s="33"/>
      <c r="H3" s="33"/>
      <c r="I3" s="33"/>
      <c r="J3" s="33"/>
      <c r="K3" s="33"/>
    </row>
    <row r="4" spans="2:11" x14ac:dyDescent="0.25">
      <c r="B4" s="58" t="s">
        <v>0</v>
      </c>
      <c r="C4" s="58" t="s">
        <v>10</v>
      </c>
      <c r="D4" s="58" t="s">
        <v>20</v>
      </c>
      <c r="E4" s="58" t="s">
        <v>30</v>
      </c>
      <c r="G4" s="137" t="s">
        <v>56</v>
      </c>
      <c r="H4" s="137"/>
      <c r="I4" s="33"/>
      <c r="J4" s="33"/>
      <c r="K4" s="33"/>
    </row>
    <row r="5" spans="2:11" x14ac:dyDescent="0.25">
      <c r="B5" s="58" t="s">
        <v>1</v>
      </c>
      <c r="C5" s="58" t="s">
        <v>11</v>
      </c>
      <c r="D5" s="58" t="s">
        <v>21</v>
      </c>
      <c r="E5" s="58" t="s">
        <v>31</v>
      </c>
      <c r="G5" s="33"/>
      <c r="H5" s="33"/>
      <c r="I5" s="33"/>
      <c r="J5" s="33"/>
      <c r="K5" s="33"/>
    </row>
    <row r="6" spans="2:11" x14ac:dyDescent="0.25">
      <c r="B6" s="58" t="s">
        <v>2</v>
      </c>
      <c r="C6" s="58" t="s">
        <v>12</v>
      </c>
      <c r="D6" s="58" t="s">
        <v>22</v>
      </c>
      <c r="E6" s="58" t="s">
        <v>32</v>
      </c>
      <c r="G6" s="137" t="s">
        <v>1447</v>
      </c>
      <c r="H6" s="137"/>
      <c r="I6" s="33"/>
      <c r="J6" s="33"/>
      <c r="K6" s="33"/>
    </row>
    <row r="7" spans="2:11" x14ac:dyDescent="0.25">
      <c r="B7" s="58" t="s">
        <v>3</v>
      </c>
      <c r="C7" s="58" t="s">
        <v>13</v>
      </c>
      <c r="D7" s="58" t="s">
        <v>23</v>
      </c>
      <c r="E7" s="58" t="s">
        <v>33</v>
      </c>
      <c r="G7" s="33"/>
      <c r="H7" s="33"/>
      <c r="I7" s="33"/>
      <c r="J7" s="33"/>
      <c r="K7" s="33"/>
    </row>
    <row r="8" spans="2:11" x14ac:dyDescent="0.25">
      <c r="B8" s="58" t="s">
        <v>4</v>
      </c>
      <c r="C8" s="58" t="s">
        <v>14</v>
      </c>
      <c r="D8" s="58" t="s">
        <v>24</v>
      </c>
      <c r="E8" s="58" t="s">
        <v>34</v>
      </c>
      <c r="G8" s="135" t="s">
        <v>1470</v>
      </c>
      <c r="H8" s="33"/>
      <c r="I8" s="33"/>
      <c r="J8" s="33"/>
      <c r="K8" s="33"/>
    </row>
    <row r="9" spans="2:11" x14ac:dyDescent="0.25">
      <c r="B9" s="58" t="s">
        <v>5</v>
      </c>
      <c r="C9" s="58" t="s">
        <v>15</v>
      </c>
      <c r="D9" s="58" t="s">
        <v>25</v>
      </c>
      <c r="E9" s="58" t="s">
        <v>35</v>
      </c>
      <c r="G9" s="33"/>
      <c r="H9" s="33"/>
      <c r="I9" s="33"/>
      <c r="J9" s="33"/>
      <c r="K9" s="33"/>
    </row>
    <row r="10" spans="2:11" x14ac:dyDescent="0.25">
      <c r="B10" s="58" t="s">
        <v>6</v>
      </c>
      <c r="C10" s="58" t="s">
        <v>16</v>
      </c>
      <c r="D10" s="58" t="s">
        <v>26</v>
      </c>
      <c r="E10" s="58" t="s">
        <v>36</v>
      </c>
      <c r="G10" s="135" t="s">
        <v>1362</v>
      </c>
      <c r="H10" s="33"/>
      <c r="I10" s="33"/>
      <c r="J10" s="33"/>
      <c r="K10" s="33"/>
    </row>
    <row r="11" spans="2:11" x14ac:dyDescent="0.25">
      <c r="B11" s="58" t="s">
        <v>7</v>
      </c>
      <c r="C11" s="58" t="s">
        <v>17</v>
      </c>
      <c r="D11" s="58" t="s">
        <v>27</v>
      </c>
      <c r="E11" s="136"/>
      <c r="G11" s="33"/>
      <c r="H11" s="33"/>
      <c r="I11" s="33"/>
      <c r="J11" s="33"/>
      <c r="K11" s="33"/>
    </row>
    <row r="12" spans="2:11" x14ac:dyDescent="0.25">
      <c r="B12" s="58" t="s">
        <v>8</v>
      </c>
      <c r="C12" s="58" t="s">
        <v>18</v>
      </c>
      <c r="D12" s="58" t="s">
        <v>28</v>
      </c>
      <c r="E12" s="136"/>
      <c r="G12" s="33"/>
      <c r="H12" s="33"/>
      <c r="I12" s="33"/>
      <c r="J12" s="33"/>
      <c r="K12" s="33"/>
    </row>
    <row r="13" spans="2:11" x14ac:dyDescent="0.25">
      <c r="B13" s="58" t="s">
        <v>9</v>
      </c>
      <c r="C13" s="58" t="s">
        <v>19</v>
      </c>
      <c r="D13" s="58" t="s">
        <v>29</v>
      </c>
      <c r="E13" s="136"/>
    </row>
  </sheetData>
  <mergeCells count="3">
    <mergeCell ref="G4:H4"/>
    <mergeCell ref="G6:H6"/>
    <mergeCell ref="B2:E2"/>
  </mergeCells>
  <hyperlinks>
    <hyperlink ref="B4" location="'c30'!A1" display="c30"/>
    <hyperlink ref="B5" location="'c60'!A1" display="c60"/>
    <hyperlink ref="B6" location="'c65'!A1" display="c65"/>
    <hyperlink ref="B7" location="'c70'!A1" display="c70"/>
    <hyperlink ref="B8" location="'c75'!A1" display="c75"/>
    <hyperlink ref="B9" location="'c80'!A1" display="c80"/>
    <hyperlink ref="B10" location="'c85'!A1" display="c85"/>
    <hyperlink ref="B11" location="'c90'!A1" display="c90"/>
    <hyperlink ref="B12" location="'c95'!A1" display="c95"/>
    <hyperlink ref="B13" location="'c100'!A1" display="c100"/>
    <hyperlink ref="C4" location="'c105'!A1" display="c105"/>
    <hyperlink ref="C5" location="'c110'!A1" display="c110"/>
    <hyperlink ref="C6" location="'c115'!A1" display="c115"/>
    <hyperlink ref="C7" location="'c120'!A1" display="c120"/>
    <hyperlink ref="C8" location="'c125'!A1" display="c125"/>
    <hyperlink ref="C9" location="'c130'!A1" display="c130"/>
    <hyperlink ref="C10" location="'c135'!A1" display="c135"/>
    <hyperlink ref="C11" location="'c140'!A1" display="c140"/>
    <hyperlink ref="C12" location="'c145'!A1" display="c145"/>
    <hyperlink ref="C13" location="'c150'!A1" display="c150"/>
    <hyperlink ref="D4" location="'c155'!A1" display="c155"/>
    <hyperlink ref="D5" location="'c160'!A1" display="c160"/>
    <hyperlink ref="D7" location="'c170'!A1" display="c170"/>
    <hyperlink ref="D6" location="'c165'!A1" display="c165"/>
    <hyperlink ref="D8" location="'c175'!A1" display="c175"/>
    <hyperlink ref="D9" location="'c180'!A1" display="c180"/>
    <hyperlink ref="D10" location="'c185'!A1" display="c185"/>
    <hyperlink ref="D11" location="'c190'!A1" display="c190"/>
    <hyperlink ref="D12" location="'c195'!A1" display="c195"/>
    <hyperlink ref="D13" location="'c200'!A1" display="c200"/>
    <hyperlink ref="E4" location="'c205'!A1" display="c205"/>
    <hyperlink ref="E5" location="'c210'!A1" display="c210"/>
    <hyperlink ref="E6" location="'c220'!A1" display="c220"/>
    <hyperlink ref="E7" location="'c230'!A1" display="c230"/>
    <hyperlink ref="E9" location="'c310'!A1" display="c310"/>
    <hyperlink ref="E10" location="'c320'!A1" display="c320"/>
    <hyperlink ref="E8" location="'c270'!A1" display="c270"/>
    <hyperlink ref="G4" location="'Index of Integers'!A1" display="Index of Integers"/>
    <hyperlink ref="G10" location="References!A1" display="References"/>
    <hyperlink ref="G6" location="'Index of Parameters'!A1" display="Index of Parameters"/>
    <hyperlink ref="G8" location="'Index of Results'!A1" display="Index of Result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4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5.85546875" style="75" bestFit="1" customWidth="1"/>
    <col min="7" max="7" width="23.28515625" style="24" bestFit="1" customWidth="1"/>
    <col min="8" max="8" width="7.140625" style="75" bestFit="1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9" width="8.85546875" style="24"/>
    <col min="20" max="20" width="12" style="24" bestFit="1" customWidth="1"/>
    <col min="21" max="16384" width="8.85546875" style="24"/>
  </cols>
  <sheetData>
    <row r="2" spans="2:18" x14ac:dyDescent="0.25">
      <c r="B2" s="56" t="s">
        <v>0</v>
      </c>
      <c r="D2" s="2"/>
      <c r="E2" s="2"/>
      <c r="F2" s="60"/>
      <c r="G2" s="2"/>
      <c r="H2" s="60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2"/>
      <c r="D3" s="2"/>
      <c r="E3" s="138" t="s">
        <v>1364</v>
      </c>
      <c r="F3" s="138"/>
      <c r="G3" s="138"/>
      <c r="H3" s="76"/>
      <c r="I3" s="39" t="s">
        <v>1363</v>
      </c>
      <c r="J3" s="28" t="s">
        <v>65</v>
      </c>
      <c r="K3" s="28" t="s">
        <v>75</v>
      </c>
      <c r="L3" s="28" t="s">
        <v>76</v>
      </c>
      <c r="M3" s="28" t="s">
        <v>77</v>
      </c>
      <c r="N3" s="28" t="s">
        <v>78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61"/>
      <c r="G4" s="3" t="s">
        <v>1365</v>
      </c>
      <c r="H4" s="61"/>
      <c r="I4" s="9" t="s">
        <v>41</v>
      </c>
      <c r="J4" s="29">
        <v>0</v>
      </c>
      <c r="K4" s="30">
        <v>0.01</v>
      </c>
      <c r="L4" s="30">
        <v>0</v>
      </c>
      <c r="M4" s="30">
        <v>0.03</v>
      </c>
      <c r="N4" s="31">
        <v>0.05</v>
      </c>
      <c r="O4" s="33">
        <f>AVERAGE(J4:N4)</f>
        <v>1.7999999999999999E-2</v>
      </c>
      <c r="P4" s="40"/>
      <c r="R4">
        <f>O4+O13</f>
        <v>8.7999999999999995E-2</v>
      </c>
    </row>
    <row r="5" spans="2:18" x14ac:dyDescent="0.25">
      <c r="B5" s="54"/>
      <c r="D5" s="141"/>
      <c r="E5" s="20" t="s">
        <v>1397</v>
      </c>
      <c r="F5" s="62"/>
      <c r="G5" s="20" t="s">
        <v>1366</v>
      </c>
      <c r="H5" s="62">
        <v>20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63">
        <v>0</v>
      </c>
      <c r="G6" s="20" t="s">
        <v>1397</v>
      </c>
      <c r="H6" s="62"/>
      <c r="I6" s="10"/>
      <c r="J6" s="43"/>
      <c r="K6" s="44"/>
      <c r="L6" s="44"/>
      <c r="M6" s="44"/>
      <c r="N6" s="45"/>
      <c r="O6" s="44"/>
      <c r="P6" s="40"/>
    </row>
    <row r="7" spans="2:18" ht="14.45" customHeight="1" x14ac:dyDescent="0.25">
      <c r="B7" s="54"/>
      <c r="D7" s="141"/>
      <c r="E7" s="21" t="s">
        <v>1369</v>
      </c>
      <c r="F7" s="63">
        <v>1000</v>
      </c>
      <c r="G7" s="21" t="s">
        <v>1370</v>
      </c>
      <c r="H7" s="63">
        <v>100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62">
        <v>272</v>
      </c>
      <c r="G8" s="20" t="s">
        <v>1373</v>
      </c>
      <c r="H8" s="62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64">
        <v>0</v>
      </c>
      <c r="G9" s="22"/>
      <c r="H9" s="64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62">
        <v>3</v>
      </c>
      <c r="G10" s="22"/>
      <c r="H10" s="64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62">
        <v>2</v>
      </c>
      <c r="G11" s="22"/>
      <c r="H11" s="64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65">
        <v>3</v>
      </c>
      <c r="G12" s="23"/>
      <c r="H12" s="65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62">
        <v>1</v>
      </c>
      <c r="G13" s="20"/>
      <c r="H13" s="62"/>
      <c r="I13" s="10" t="s">
        <v>42</v>
      </c>
      <c r="J13" s="32">
        <v>0.05</v>
      </c>
      <c r="K13" s="33">
        <v>0.05</v>
      </c>
      <c r="L13" s="33">
        <v>0.05</v>
      </c>
      <c r="M13" s="33">
        <v>0.1</v>
      </c>
      <c r="N13" s="34">
        <v>0.1</v>
      </c>
      <c r="O13" s="33">
        <f>AVERAGE(J13:N13)</f>
        <v>6.9999999999999993E-2</v>
      </c>
      <c r="P13" s="40"/>
    </row>
    <row r="14" spans="2:18" x14ac:dyDescent="0.25">
      <c r="B14" s="139"/>
      <c r="D14" s="141"/>
      <c r="E14" s="23"/>
      <c r="F14" s="65"/>
      <c r="G14" s="23"/>
      <c r="H14" s="65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62"/>
      <c r="G15" s="20"/>
      <c r="H15" s="62"/>
      <c r="I15" s="10" t="s">
        <v>43</v>
      </c>
      <c r="J15" s="32">
        <v>0.01</v>
      </c>
      <c r="K15" s="33">
        <v>0.02</v>
      </c>
      <c r="L15" s="33">
        <v>0.02</v>
      </c>
      <c r="M15" s="33">
        <v>0.02</v>
      </c>
      <c r="N15" s="34">
        <v>0.02</v>
      </c>
      <c r="O15" s="33">
        <f>AVERAGE(J15:N15)</f>
        <v>1.8000000000000002E-2</v>
      </c>
      <c r="P15" s="40"/>
    </row>
    <row r="16" spans="2:18" x14ac:dyDescent="0.25">
      <c r="B16" s="139" t="s">
        <v>1470</v>
      </c>
      <c r="D16" s="141"/>
      <c r="E16" s="23"/>
      <c r="F16" s="65"/>
      <c r="G16" s="23"/>
      <c r="H16" s="65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62"/>
      <c r="G17" s="20"/>
      <c r="H17" s="62"/>
      <c r="I17" s="10" t="s">
        <v>44</v>
      </c>
      <c r="J17" s="32">
        <v>0.08</v>
      </c>
      <c r="K17" s="33">
        <v>0.08</v>
      </c>
      <c r="L17" s="33">
        <v>0.08</v>
      </c>
      <c r="M17" s="33">
        <v>0.08</v>
      </c>
      <c r="N17" s="34">
        <v>0.08</v>
      </c>
      <c r="O17" s="33">
        <f>AVERAGE(J17:N17)</f>
        <v>0.08</v>
      </c>
      <c r="P17" s="40"/>
    </row>
    <row r="18" spans="2:16" x14ac:dyDescent="0.25">
      <c r="B18" s="2"/>
      <c r="D18" s="141"/>
      <c r="E18" s="20"/>
      <c r="F18" s="62"/>
      <c r="G18" s="20"/>
      <c r="H18" s="62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66"/>
      <c r="G19" s="40"/>
      <c r="H19" s="66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7.8399999999999995E-5</v>
      </c>
      <c r="K21" s="110">
        <v>5.3499999999999999E-5</v>
      </c>
      <c r="L21" s="110">
        <v>7.8700000000000002E-5</v>
      </c>
      <c r="M21" s="110">
        <v>1.08E-4</v>
      </c>
      <c r="N21" s="110">
        <v>1.22E-4</v>
      </c>
      <c r="O21" s="38">
        <f>AVERAGE(J21:N21)</f>
        <v>8.8120000000000003E-5</v>
      </c>
    </row>
    <row r="23" spans="2:16" x14ac:dyDescent="0.25">
      <c r="D23" s="2"/>
      <c r="E23" s="2"/>
      <c r="F23" s="60"/>
      <c r="G23" s="2"/>
      <c r="H23" s="60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76"/>
      <c r="I24" s="39" t="s">
        <v>1363</v>
      </c>
      <c r="J24" s="28" t="s">
        <v>65</v>
      </c>
      <c r="K24" s="28" t="s">
        <v>75</v>
      </c>
      <c r="L24" s="28" t="s">
        <v>76</v>
      </c>
      <c r="M24" s="28" t="s">
        <v>77</v>
      </c>
      <c r="N24" s="28" t="s">
        <v>78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67"/>
      <c r="G25" s="4" t="s">
        <v>1365</v>
      </c>
      <c r="H25" s="67"/>
      <c r="I25" s="52" t="s">
        <v>45</v>
      </c>
      <c r="J25" s="29">
        <v>1.37</v>
      </c>
      <c r="K25" s="30">
        <v>1.32</v>
      </c>
      <c r="L25" s="30">
        <v>1.26</v>
      </c>
      <c r="M25" s="30">
        <v>1.44</v>
      </c>
      <c r="N25" s="31">
        <v>2.0299999999999998</v>
      </c>
      <c r="O25" s="33">
        <f>AVERAGE(J25:N25)</f>
        <v>1.484</v>
      </c>
      <c r="P25" s="40"/>
    </row>
    <row r="26" spans="2:16" x14ac:dyDescent="0.25">
      <c r="D26" s="142"/>
      <c r="E26" s="5" t="s">
        <v>1376</v>
      </c>
      <c r="F26" s="68">
        <v>18</v>
      </c>
      <c r="G26" s="5" t="s">
        <v>1384</v>
      </c>
      <c r="H26" s="68">
        <v>50000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68">
        <v>18</v>
      </c>
      <c r="G27" s="5" t="s">
        <v>1383</v>
      </c>
      <c r="H27" s="68">
        <v>1000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68"/>
      <c r="G28" s="5" t="s">
        <v>1373</v>
      </c>
      <c r="H28" s="68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68"/>
      <c r="G29" s="5" t="s">
        <v>1402</v>
      </c>
      <c r="H29" s="68">
        <v>30000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68"/>
      <c r="G30" s="5"/>
      <c r="H30" s="68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68"/>
      <c r="G31" s="5"/>
      <c r="H31" s="68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68"/>
      <c r="G32" s="5"/>
      <c r="H32" s="68"/>
      <c r="I32" s="12"/>
      <c r="J32" s="43"/>
      <c r="K32" s="44"/>
      <c r="L32" s="44"/>
      <c r="M32" s="44"/>
      <c r="N32" s="45"/>
      <c r="O32" s="44"/>
      <c r="P32" s="40"/>
    </row>
    <row r="33" spans="4:17" x14ac:dyDescent="0.25">
      <c r="D33" s="142"/>
      <c r="E33" s="5" t="s">
        <v>1375</v>
      </c>
      <c r="F33" s="68">
        <v>9</v>
      </c>
      <c r="G33" s="5"/>
      <c r="H33" s="68"/>
      <c r="I33" s="13"/>
      <c r="J33" s="46"/>
      <c r="K33" s="47"/>
      <c r="L33" s="47"/>
      <c r="M33" s="47"/>
      <c r="N33" s="48"/>
      <c r="O33" s="44"/>
      <c r="P33" s="40"/>
    </row>
    <row r="34" spans="4:17" x14ac:dyDescent="0.25">
      <c r="E34" s="40"/>
      <c r="F34" s="66"/>
      <c r="G34" s="40"/>
      <c r="H34" s="66"/>
      <c r="I34" s="40"/>
      <c r="J34" s="41"/>
      <c r="K34" s="40"/>
      <c r="L34" s="40"/>
      <c r="M34" s="40"/>
      <c r="N34" s="40"/>
      <c r="O34" s="40"/>
      <c r="P34" s="40"/>
    </row>
    <row r="36" spans="4:17" x14ac:dyDescent="0.25">
      <c r="D36" s="2"/>
      <c r="E36" s="2"/>
      <c r="F36" s="60"/>
      <c r="G36" s="2"/>
      <c r="H36" s="60"/>
      <c r="I36" s="2"/>
      <c r="J36" s="2" t="s">
        <v>64</v>
      </c>
      <c r="K36" s="2"/>
      <c r="L36" s="2"/>
      <c r="M36" s="2"/>
      <c r="N36" s="2"/>
      <c r="O36" s="2"/>
    </row>
    <row r="37" spans="4:17" x14ac:dyDescent="0.25">
      <c r="D37" s="2"/>
      <c r="E37" s="138" t="s">
        <v>1364</v>
      </c>
      <c r="F37" s="138"/>
      <c r="G37" s="138"/>
      <c r="H37" s="76"/>
      <c r="I37" s="39" t="s">
        <v>1363</v>
      </c>
      <c r="J37" s="28" t="s">
        <v>65</v>
      </c>
      <c r="K37" s="28" t="s">
        <v>75</v>
      </c>
      <c r="L37" s="28" t="s">
        <v>76</v>
      </c>
      <c r="M37" s="28" t="s">
        <v>77</v>
      </c>
      <c r="N37" s="28" t="s">
        <v>78</v>
      </c>
      <c r="O37" s="28" t="s">
        <v>1454</v>
      </c>
      <c r="P37" s="40"/>
    </row>
    <row r="38" spans="4:17" x14ac:dyDescent="0.25">
      <c r="D38" s="144" t="s">
        <v>46</v>
      </c>
      <c r="E38" s="6" t="s">
        <v>1385</v>
      </c>
      <c r="F38" s="69"/>
      <c r="G38" s="6"/>
      <c r="H38" s="69"/>
      <c r="I38" s="14" t="s">
        <v>47</v>
      </c>
      <c r="J38" s="29">
        <v>0.08</v>
      </c>
      <c r="K38" s="30">
        <v>0.08</v>
      </c>
      <c r="L38" s="30">
        <v>0.09</v>
      </c>
      <c r="M38" s="30">
        <v>0.08</v>
      </c>
      <c r="N38" s="31">
        <v>0.2</v>
      </c>
      <c r="O38" s="33">
        <f>AVERAGE(J38:N38)</f>
        <v>0.10600000000000001</v>
      </c>
      <c r="P38" s="40"/>
    </row>
    <row r="39" spans="4:17" x14ac:dyDescent="0.25">
      <c r="D39" s="144"/>
      <c r="E39" s="6" t="s">
        <v>1386</v>
      </c>
      <c r="F39" s="69"/>
      <c r="G39" s="6"/>
      <c r="H39" s="69"/>
      <c r="I39" s="14" t="s">
        <v>48</v>
      </c>
      <c r="J39" s="32">
        <v>0.19</v>
      </c>
      <c r="K39" s="33">
        <v>0.23</v>
      </c>
      <c r="L39" s="33">
        <v>0.2</v>
      </c>
      <c r="M39" s="33">
        <v>0.21</v>
      </c>
      <c r="N39" s="34">
        <v>0.39</v>
      </c>
      <c r="O39" s="33">
        <f>AVERAGE(J39:N39)</f>
        <v>0.24400000000000005</v>
      </c>
      <c r="P39" s="40"/>
    </row>
    <row r="40" spans="4:17" x14ac:dyDescent="0.25">
      <c r="D40" s="144"/>
      <c r="E40" s="6" t="s">
        <v>1387</v>
      </c>
      <c r="F40" s="69"/>
      <c r="G40" s="6"/>
      <c r="H40" s="69"/>
      <c r="I40" s="15" t="s">
        <v>49</v>
      </c>
      <c r="J40" s="32">
        <v>0.55000000000000004</v>
      </c>
      <c r="K40" s="33">
        <v>0.49</v>
      </c>
      <c r="L40" s="33">
        <v>0.57999999999999996</v>
      </c>
      <c r="M40" s="33">
        <v>0.63</v>
      </c>
      <c r="N40" s="34">
        <v>0.97</v>
      </c>
      <c r="O40" s="33">
        <f>AVERAGE(J40:N40)</f>
        <v>0.64399999999999991</v>
      </c>
      <c r="P40" s="40"/>
    </row>
    <row r="41" spans="4:17" ht="14.45" customHeight="1" x14ac:dyDescent="0.25">
      <c r="D41" s="144"/>
      <c r="E41" s="6" t="s">
        <v>1388</v>
      </c>
      <c r="F41" s="69"/>
      <c r="G41" s="6"/>
      <c r="H41" s="69"/>
      <c r="I41" s="16" t="s">
        <v>50</v>
      </c>
      <c r="J41" s="32">
        <v>0.3</v>
      </c>
      <c r="K41" s="33">
        <v>0.04</v>
      </c>
      <c r="L41" s="33">
        <v>0.04</v>
      </c>
      <c r="M41" s="33">
        <v>0.03</v>
      </c>
      <c r="N41" s="34">
        <v>0.03</v>
      </c>
      <c r="O41" s="33">
        <f>AVERAGE(J41:N41)</f>
        <v>8.7999999999999995E-2</v>
      </c>
      <c r="P41" s="40"/>
    </row>
    <row r="42" spans="4:17" x14ac:dyDescent="0.25">
      <c r="D42" s="144"/>
      <c r="E42" s="6" t="s">
        <v>1389</v>
      </c>
      <c r="F42" s="69"/>
      <c r="G42" s="6"/>
      <c r="H42" s="69"/>
      <c r="I42" s="16" t="s">
        <v>51</v>
      </c>
      <c r="J42" s="35">
        <v>0.02</v>
      </c>
      <c r="K42" s="28">
        <v>0.03</v>
      </c>
      <c r="L42" s="28">
        <v>0.02</v>
      </c>
      <c r="M42" s="28">
        <v>0.02</v>
      </c>
      <c r="N42" s="36">
        <v>0.01</v>
      </c>
      <c r="O42" s="33">
        <f>AVERAGE(J42:N42)</f>
        <v>0.02</v>
      </c>
      <c r="P42" s="40"/>
    </row>
    <row r="43" spans="4:17" x14ac:dyDescent="0.25">
      <c r="D43" s="26"/>
      <c r="E43" s="42"/>
      <c r="F43" s="70"/>
      <c r="G43" s="42"/>
      <c r="H43" s="70"/>
      <c r="I43" s="41"/>
      <c r="J43" s="41"/>
      <c r="K43" s="40"/>
      <c r="L43" s="40"/>
      <c r="M43" s="40"/>
      <c r="N43" s="40"/>
      <c r="O43" s="40"/>
      <c r="P43" s="40"/>
    </row>
    <row r="44" spans="4:17" x14ac:dyDescent="0.25">
      <c r="D44" s="26"/>
      <c r="E44" s="26"/>
      <c r="F44" s="71"/>
      <c r="G44" s="26"/>
      <c r="H44" s="71"/>
      <c r="I44" s="26"/>
      <c r="J44" s="26"/>
      <c r="K44" s="26"/>
      <c r="L44" s="26"/>
      <c r="M44" s="26"/>
      <c r="N44" s="26"/>
      <c r="O44" s="26"/>
      <c r="P44" s="26"/>
    </row>
    <row r="45" spans="4:17" x14ac:dyDescent="0.25">
      <c r="D45" s="37"/>
      <c r="E45" s="37"/>
      <c r="F45" s="72"/>
      <c r="G45" s="37"/>
      <c r="H45" s="72"/>
      <c r="I45" s="37"/>
      <c r="J45" s="2" t="s">
        <v>64</v>
      </c>
      <c r="K45" s="2"/>
      <c r="L45" s="2"/>
      <c r="M45" s="2"/>
      <c r="N45" s="2"/>
      <c r="O45" s="2"/>
      <c r="P45" s="26"/>
    </row>
    <row r="46" spans="4:17" x14ac:dyDescent="0.25">
      <c r="D46" s="37"/>
      <c r="E46" s="138" t="s">
        <v>1364</v>
      </c>
      <c r="F46" s="138"/>
      <c r="G46" s="138"/>
      <c r="H46" s="76"/>
      <c r="I46" s="39" t="s">
        <v>1363</v>
      </c>
      <c r="J46" s="28" t="s">
        <v>65</v>
      </c>
      <c r="K46" s="28" t="s">
        <v>75</v>
      </c>
      <c r="L46" s="28" t="s">
        <v>76</v>
      </c>
      <c r="M46" s="28" t="s">
        <v>77</v>
      </c>
      <c r="N46" s="28" t="s">
        <v>78</v>
      </c>
      <c r="O46" s="28" t="s">
        <v>1454</v>
      </c>
      <c r="P46" s="40"/>
    </row>
    <row r="47" spans="4:17" x14ac:dyDescent="0.25">
      <c r="D47" s="143" t="s">
        <v>1448</v>
      </c>
      <c r="E47" s="8" t="s">
        <v>1374</v>
      </c>
      <c r="F47" s="73"/>
      <c r="G47" s="8" t="s">
        <v>1365</v>
      </c>
      <c r="H47" s="73"/>
      <c r="I47" s="17" t="s">
        <v>53</v>
      </c>
      <c r="J47" s="29">
        <v>0.66</v>
      </c>
      <c r="K47" s="30">
        <v>0.59</v>
      </c>
      <c r="L47" s="30">
        <v>0.56000000000000005</v>
      </c>
      <c r="M47" s="30">
        <v>0.53</v>
      </c>
      <c r="N47" s="31">
        <v>0.62</v>
      </c>
      <c r="O47" s="33">
        <f>AVERAGE(J47:N47)</f>
        <v>0.59199999999999997</v>
      </c>
      <c r="P47" s="40"/>
      <c r="Q47" s="26"/>
    </row>
    <row r="48" spans="4:17" x14ac:dyDescent="0.25">
      <c r="D48" s="143"/>
      <c r="E48" s="7" t="s">
        <v>1391</v>
      </c>
      <c r="F48" s="74"/>
      <c r="G48" s="7" t="s">
        <v>1390</v>
      </c>
      <c r="H48" s="74"/>
      <c r="I48" s="18" t="s">
        <v>54</v>
      </c>
      <c r="J48" s="32">
        <v>0.01</v>
      </c>
      <c r="K48" s="33">
        <v>0.02</v>
      </c>
      <c r="L48" s="33">
        <v>0.02</v>
      </c>
      <c r="M48" s="33">
        <v>0.03</v>
      </c>
      <c r="N48" s="34">
        <v>0.02</v>
      </c>
      <c r="O48" s="33">
        <f>AVERAGE(J48:N48)</f>
        <v>0.02</v>
      </c>
      <c r="P48" s="40"/>
      <c r="Q48" s="26"/>
    </row>
    <row r="49" spans="4:16" x14ac:dyDescent="0.25">
      <c r="D49" s="143"/>
      <c r="E49" s="7" t="s">
        <v>1392</v>
      </c>
      <c r="F49" s="74"/>
      <c r="G49" s="7" t="s">
        <v>1396</v>
      </c>
      <c r="H49" s="74"/>
      <c r="I49" s="18" t="s">
        <v>55</v>
      </c>
      <c r="J49" s="32">
        <v>0.12</v>
      </c>
      <c r="K49" s="33">
        <v>0.12</v>
      </c>
      <c r="L49" s="33">
        <v>0.19</v>
      </c>
      <c r="M49" s="33">
        <v>0.1</v>
      </c>
      <c r="N49" s="34">
        <v>0.1</v>
      </c>
      <c r="O49" s="33">
        <f>AVERAGE(J49:N49)</f>
        <v>0.126</v>
      </c>
      <c r="P49" s="40"/>
    </row>
    <row r="50" spans="4:16" ht="14.45" customHeight="1" x14ac:dyDescent="0.25">
      <c r="D50" s="143"/>
      <c r="E50" s="7" t="s">
        <v>1393</v>
      </c>
      <c r="F50" s="74">
        <v>64</v>
      </c>
      <c r="G50" s="7"/>
      <c r="H50" s="74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4">
        <v>64</v>
      </c>
      <c r="G51" s="7"/>
      <c r="H51" s="74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4">
        <v>50</v>
      </c>
      <c r="G52" s="7"/>
      <c r="H52" s="74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66"/>
      <c r="G53" s="40"/>
      <c r="H53" s="66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3.4400784</v>
      </c>
      <c r="K54" s="2">
        <f>SUM(K4:K50)</f>
        <v>3.0800535</v>
      </c>
      <c r="L54" s="2">
        <f>SUM(L4:L50)</f>
        <v>3.1100787000000003</v>
      </c>
      <c r="M54" s="2">
        <f>SUM(M4:M50)</f>
        <v>3.3001079999999998</v>
      </c>
      <c r="N54" s="2">
        <f>SUM(N4:N50)</f>
        <v>4.6201219999999985</v>
      </c>
      <c r="O54" s="38">
        <f>AVERAGE(J54:N54)</f>
        <v>3.5100881199999998</v>
      </c>
    </row>
    <row r="55" spans="4:16" x14ac:dyDescent="0.25">
      <c r="J55" s="2"/>
      <c r="K55" s="2"/>
      <c r="L55" s="2"/>
      <c r="M55" s="2"/>
      <c r="N55" s="2"/>
      <c r="O55" s="38"/>
    </row>
    <row r="56" spans="4:16" ht="14.45" customHeight="1" x14ac:dyDescent="0.25">
      <c r="G56" s="75"/>
      <c r="I56" s="106" t="s">
        <v>40</v>
      </c>
      <c r="J56" s="104">
        <f>SUM(J4:J18)/J54</f>
        <v>4.0696746911349467E-2</v>
      </c>
      <c r="K56" s="104">
        <f>SUM(K4:K18)/K54</f>
        <v>5.1947149619316679E-2</v>
      </c>
      <c r="L56" s="104">
        <f>SUM(L4:L18)/L54</f>
        <v>4.8230290764024721E-2</v>
      </c>
      <c r="M56" s="104">
        <f>SUM(M4:M18)/M54</f>
        <v>6.9694688779882358E-2</v>
      </c>
      <c r="N56" s="104">
        <f>SUM(N4:N18)/N54</f>
        <v>5.4111125204053069E-2</v>
      </c>
      <c r="O56" s="38">
        <f>AVERAGE(J56:N56)</f>
        <v>5.2936000255725257E-2</v>
      </c>
    </row>
    <row r="57" spans="4:16" x14ac:dyDescent="0.25">
      <c r="G57" s="75"/>
      <c r="I57" s="107" t="s">
        <v>45</v>
      </c>
      <c r="J57" s="105">
        <f>J25/J54</f>
        <v>0.39824673763249119</v>
      </c>
      <c r="K57" s="105">
        <f t="shared" ref="K57:N57" si="0">K25/K54</f>
        <v>0.4285639843593626</v>
      </c>
      <c r="L57" s="105">
        <f t="shared" si="0"/>
        <v>0.40513444241780761</v>
      </c>
      <c r="M57" s="105">
        <f t="shared" si="0"/>
        <v>0.43634935583926343</v>
      </c>
      <c r="N57" s="105">
        <f t="shared" si="0"/>
        <v>0.4393823366569109</v>
      </c>
      <c r="O57" s="38">
        <f>AVERAGE(J57:N57)</f>
        <v>0.42153537138116715</v>
      </c>
    </row>
    <row r="58" spans="4:16" x14ac:dyDescent="0.25">
      <c r="G58" s="75"/>
      <c r="I58" s="108" t="s">
        <v>46</v>
      </c>
      <c r="J58" s="102">
        <f>SUM(J38:J42)/J54</f>
        <v>0.33138779627813136</v>
      </c>
      <c r="K58" s="102">
        <f>SUM(K38:K42)/K54</f>
        <v>0.28246262605503447</v>
      </c>
      <c r="L58" s="102">
        <f>SUM(L38:L42)/L54</f>
        <v>0.29902780273695323</v>
      </c>
      <c r="M58" s="102">
        <f>SUM(M38:M42)/M54</f>
        <v>0.29392977441950385</v>
      </c>
      <c r="N58" s="102">
        <f>SUM(N38:N42)/N54</f>
        <v>0.34631120130593968</v>
      </c>
      <c r="O58" s="38">
        <f>AVERAGE(J58:N58)</f>
        <v>0.31062384015911254</v>
      </c>
    </row>
    <row r="59" spans="4:16" ht="14.45" customHeight="1" x14ac:dyDescent="0.25">
      <c r="G59" s="75"/>
      <c r="I59" s="109" t="s">
        <v>1448</v>
      </c>
      <c r="J59" s="103">
        <f>SUM(J47:J49)/J54</f>
        <v>0.22964592899975769</v>
      </c>
      <c r="K59" s="103">
        <f>SUM(K47:K49)/K54</f>
        <v>0.23700887013813232</v>
      </c>
      <c r="L59" s="103">
        <f>SUM(L47:L49)/L54</f>
        <v>0.24758215925532687</v>
      </c>
      <c r="M59" s="103">
        <f>SUM(M47:M49)/M54</f>
        <v>0.19999345475966243</v>
      </c>
      <c r="N59" s="103">
        <f>SUM(N47:N49)/N54</f>
        <v>0.16016893060399709</v>
      </c>
      <c r="O59" s="38">
        <f>AVERAGE(J59:N59)</f>
        <v>0.21487986875137527</v>
      </c>
    </row>
    <row r="60" spans="4:16" x14ac:dyDescent="0.25">
      <c r="G60" s="75"/>
      <c r="I60" s="75"/>
      <c r="J60" s="2"/>
      <c r="K60" s="2"/>
      <c r="L60" s="2"/>
      <c r="M60" s="2"/>
      <c r="N60" s="2"/>
      <c r="O60" s="38"/>
    </row>
    <row r="61" spans="4:16" x14ac:dyDescent="0.25">
      <c r="G61" s="75"/>
      <c r="I61" s="75"/>
      <c r="J61" s="27">
        <f>J57/J59</f>
        <v>1.7341772151898733</v>
      </c>
      <c r="K61" s="27">
        <f t="shared" ref="K61:N61" si="1">K57/K59</f>
        <v>1.8082191780821919</v>
      </c>
      <c r="L61" s="27">
        <f t="shared" si="1"/>
        <v>1.6363636363636365</v>
      </c>
      <c r="M61" s="27">
        <f t="shared" si="1"/>
        <v>2.1818181818181817</v>
      </c>
      <c r="N61" s="27">
        <f t="shared" si="1"/>
        <v>2.743243243243243</v>
      </c>
      <c r="O61" s="38">
        <f>AVERAGE(J61:N61)</f>
        <v>2.0207642909394252</v>
      </c>
    </row>
    <row r="62" spans="4:16" x14ac:dyDescent="0.25">
      <c r="G62" s="75"/>
      <c r="I62" s="75"/>
    </row>
    <row r="63" spans="4:16" x14ac:dyDescent="0.25">
      <c r="D63" s="2"/>
      <c r="E63" s="39" t="s">
        <v>1451</v>
      </c>
      <c r="F63" s="60"/>
      <c r="G63" s="60"/>
      <c r="I63" s="75"/>
    </row>
    <row r="64" spans="4:16" x14ac:dyDescent="0.25">
      <c r="D64" s="2"/>
      <c r="E64" s="2" t="s">
        <v>1453</v>
      </c>
      <c r="F64" s="60">
        <v>1</v>
      </c>
      <c r="G64" s="54" t="s">
        <v>1452</v>
      </c>
      <c r="H64" s="66"/>
      <c r="I64" s="75"/>
    </row>
    <row r="65" spans="5:8" x14ac:dyDescent="0.25">
      <c r="E65" s="40"/>
      <c r="F65" s="40"/>
      <c r="G65" s="40"/>
      <c r="H65" s="40"/>
    </row>
    <row r="66" spans="5:8" x14ac:dyDescent="0.25">
      <c r="G66" s="75"/>
    </row>
    <row r="67" spans="5:8" x14ac:dyDescent="0.25">
      <c r="G67" s="75"/>
    </row>
    <row r="68" spans="5:8" x14ac:dyDescent="0.25">
      <c r="G68" s="75"/>
    </row>
    <row r="69" spans="5:8" x14ac:dyDescent="0.25">
      <c r="G69" s="75"/>
    </row>
    <row r="70" spans="5:8" x14ac:dyDescent="0.25">
      <c r="G70" s="75"/>
    </row>
  </sheetData>
  <mergeCells count="11">
    <mergeCell ref="D47:D52"/>
    <mergeCell ref="D38:D42"/>
    <mergeCell ref="E3:G3"/>
    <mergeCell ref="E24:G24"/>
    <mergeCell ref="E37:G37"/>
    <mergeCell ref="E46:G46"/>
    <mergeCell ref="B16:B17"/>
    <mergeCell ref="B10:B11"/>
    <mergeCell ref="B13:B14"/>
    <mergeCell ref="D4:D18"/>
    <mergeCell ref="D25:D33"/>
  </mergeCells>
  <hyperlinks>
    <hyperlink ref="B6" location="Contents!A1" display="Contents"/>
    <hyperlink ref="B8" location="'c60'!A1" display="Next"/>
    <hyperlink ref="B4" location="Contents!A1" display="Prev"/>
    <hyperlink ref="B10:B11" location="'Index of Integers'!A17" display="Index of Integers"/>
    <hyperlink ref="B13:B14" location="'Index of Parameters'!E2" display="Index of Parameters"/>
    <hyperlink ref="B16:B17" location="'Index of Results'!E2" display="Index of Results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5"/>
  <sheetViews>
    <sheetView workbookViewId="0">
      <selection activeCell="S15" sqref="S15"/>
    </sheetView>
  </sheetViews>
  <sheetFormatPr defaultColWidth="8.85546875" defaultRowHeight="15" x14ac:dyDescent="0.25"/>
  <cols>
    <col min="1" max="1" width="2.7109375" style="24" customWidth="1"/>
    <col min="2" max="2" width="11.28515625" style="24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7.140625" style="75" bestFit="1" customWidth="1"/>
    <col min="7" max="7" width="23.28515625" style="24" bestFit="1" customWidth="1"/>
    <col min="8" max="8" width="7.140625" style="75" bestFit="1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1</v>
      </c>
      <c r="D2" s="2"/>
      <c r="E2" s="2"/>
      <c r="F2" s="60"/>
      <c r="G2" s="2"/>
      <c r="H2" s="60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76"/>
      <c r="I3" s="39" t="s">
        <v>1363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61"/>
      <c r="G4" s="3" t="s">
        <v>1365</v>
      </c>
      <c r="H4" s="61"/>
      <c r="I4" s="9" t="s">
        <v>41</v>
      </c>
      <c r="J4" s="29">
        <v>0.94</v>
      </c>
      <c r="K4" s="30">
        <v>0.93</v>
      </c>
      <c r="L4" s="30">
        <v>0.98</v>
      </c>
      <c r="M4" s="30">
        <v>0.97</v>
      </c>
      <c r="N4" s="31">
        <v>1.03</v>
      </c>
      <c r="O4" s="33">
        <f>AVERAGE(J4:N4)</f>
        <v>0.97000000000000008</v>
      </c>
      <c r="P4" s="40"/>
      <c r="R4">
        <f>O4+O13</f>
        <v>7.1879999999999997</v>
      </c>
    </row>
    <row r="5" spans="2:18" x14ac:dyDescent="0.25">
      <c r="B5" s="54"/>
      <c r="D5" s="141"/>
      <c r="E5" s="20" t="s">
        <v>1397</v>
      </c>
      <c r="F5" s="62"/>
      <c r="G5" s="20" t="s">
        <v>1366</v>
      </c>
      <c r="H5" s="62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63">
        <v>0</v>
      </c>
      <c r="G6" s="20" t="s">
        <v>1397</v>
      </c>
      <c r="H6" s="62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63">
        <v>10000</v>
      </c>
      <c r="G7" s="21" t="s">
        <v>1370</v>
      </c>
      <c r="H7" s="63">
        <v>5000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62">
        <v>420</v>
      </c>
      <c r="G8" s="20" t="s">
        <v>1373</v>
      </c>
      <c r="H8" s="62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7">
        <v>0</v>
      </c>
      <c r="G9" s="22"/>
      <c r="H9" s="64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62">
        <v>64</v>
      </c>
      <c r="G10" s="22"/>
      <c r="H10" s="64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62">
        <v>10</v>
      </c>
      <c r="G11" s="22"/>
      <c r="H11" s="64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65">
        <v>4</v>
      </c>
      <c r="G12" s="23"/>
      <c r="H12" s="65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62">
        <v>0.1</v>
      </c>
      <c r="G13" s="20"/>
      <c r="H13" s="62"/>
      <c r="I13" s="10" t="s">
        <v>42</v>
      </c>
      <c r="J13" s="32">
        <v>6.09</v>
      </c>
      <c r="K13" s="33">
        <v>6.42</v>
      </c>
      <c r="L13" s="33">
        <v>5.94</v>
      </c>
      <c r="M13" s="33">
        <v>6.36</v>
      </c>
      <c r="N13" s="34">
        <v>6.28</v>
      </c>
      <c r="O13" s="33">
        <f>AVERAGE(J13:N13)</f>
        <v>6.218</v>
      </c>
      <c r="P13" s="40"/>
    </row>
    <row r="14" spans="2:18" x14ac:dyDescent="0.25">
      <c r="B14" s="139"/>
      <c r="D14" s="141"/>
      <c r="E14" s="23"/>
      <c r="F14" s="65"/>
      <c r="G14" s="23"/>
      <c r="H14" s="65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62"/>
      <c r="G15" s="20"/>
      <c r="H15" s="62"/>
      <c r="I15" s="10" t="s">
        <v>43</v>
      </c>
      <c r="J15" s="32">
        <v>0.1</v>
      </c>
      <c r="K15" s="33">
        <v>0.09</v>
      </c>
      <c r="L15" s="33">
        <v>0.09</v>
      </c>
      <c r="M15" s="33">
        <v>0.09</v>
      </c>
      <c r="N15" s="34">
        <v>0.09</v>
      </c>
      <c r="O15" s="33">
        <f>AVERAGE(J15:N15)</f>
        <v>9.1999999999999998E-2</v>
      </c>
      <c r="P15" s="40"/>
    </row>
    <row r="16" spans="2:18" x14ac:dyDescent="0.25">
      <c r="B16" s="139" t="s">
        <v>1470</v>
      </c>
      <c r="D16" s="141"/>
      <c r="E16" s="23"/>
      <c r="F16" s="65"/>
      <c r="G16" s="23"/>
      <c r="H16" s="65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62"/>
      <c r="G17" s="20"/>
      <c r="H17" s="62"/>
      <c r="I17" s="10" t="s">
        <v>44</v>
      </c>
      <c r="J17" s="32">
        <v>0.38</v>
      </c>
      <c r="K17" s="33">
        <v>0.39</v>
      </c>
      <c r="L17" s="33">
        <v>0.38</v>
      </c>
      <c r="M17" s="33">
        <v>0.39</v>
      </c>
      <c r="N17" s="34">
        <v>0.38</v>
      </c>
      <c r="O17" s="33">
        <f>AVERAGE(J17:N17)</f>
        <v>0.38400000000000001</v>
      </c>
      <c r="P17" s="40"/>
    </row>
    <row r="18" spans="2:16" x14ac:dyDescent="0.25">
      <c r="B18" s="2"/>
      <c r="D18" s="141"/>
      <c r="E18" s="20"/>
      <c r="F18" s="62"/>
      <c r="G18" s="20"/>
      <c r="H18" s="62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66"/>
      <c r="G19" s="40"/>
      <c r="H19" s="66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3.8700000000000001E-7</v>
      </c>
      <c r="K21" s="110">
        <v>4.0600000000000001E-7</v>
      </c>
      <c r="L21" s="110">
        <v>4.4900000000000001E-7</v>
      </c>
      <c r="M21" s="110">
        <v>3.8099999999999998E-7</v>
      </c>
      <c r="N21" s="110">
        <v>3.9400000000000001E-7</v>
      </c>
      <c r="O21" s="38">
        <f>AVERAGE(J21:N21)</f>
        <v>4.0340000000000008E-7</v>
      </c>
    </row>
    <row r="23" spans="2:16" x14ac:dyDescent="0.25">
      <c r="D23" s="2"/>
      <c r="E23" s="2"/>
      <c r="F23" s="60"/>
      <c r="G23" s="2"/>
      <c r="H23" s="60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76"/>
      <c r="I24" s="39" t="s">
        <v>1363</v>
      </c>
      <c r="J24" s="2" t="s">
        <v>93</v>
      </c>
      <c r="K24" s="2" t="s">
        <v>94</v>
      </c>
      <c r="L24" s="2" t="s">
        <v>95</v>
      </c>
      <c r="M24" s="2" t="s">
        <v>96</v>
      </c>
      <c r="N24" s="2" t="s">
        <v>97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67"/>
      <c r="G25" s="4" t="s">
        <v>1365</v>
      </c>
      <c r="H25" s="67"/>
      <c r="I25" s="52" t="s">
        <v>45</v>
      </c>
      <c r="J25" s="29">
        <v>35.479999999999997</v>
      </c>
      <c r="K25" s="30">
        <v>32.93</v>
      </c>
      <c r="L25" s="30">
        <v>28.97</v>
      </c>
      <c r="M25" s="30">
        <v>32.46</v>
      </c>
      <c r="N25" s="31">
        <v>32.14</v>
      </c>
      <c r="O25" s="33">
        <f>AVERAGE(J25:N25)</f>
        <v>32.396000000000001</v>
      </c>
      <c r="P25" s="40"/>
    </row>
    <row r="26" spans="2:16" x14ac:dyDescent="0.25">
      <c r="D26" s="142"/>
      <c r="E26" s="5" t="s">
        <v>1376</v>
      </c>
      <c r="F26" s="68">
        <v>17</v>
      </c>
      <c r="G26" s="5" t="s">
        <v>1384</v>
      </c>
      <c r="H26" s="68">
        <v>61961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68">
        <v>38</v>
      </c>
      <c r="G27" s="5" t="s">
        <v>1383</v>
      </c>
      <c r="H27" s="68">
        <v>2000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68"/>
      <c r="G28" s="5" t="s">
        <v>1373</v>
      </c>
      <c r="H28" s="68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68"/>
      <c r="G29" s="5"/>
      <c r="H29" s="68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68">
        <v>15</v>
      </c>
      <c r="G30" s="5"/>
      <c r="H30" s="68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68">
        <v>17</v>
      </c>
      <c r="G31" s="5"/>
      <c r="H31" s="68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68"/>
      <c r="G32" s="5"/>
      <c r="H32" s="68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68">
        <v>10</v>
      </c>
      <c r="G33" s="5"/>
      <c r="H33" s="68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66"/>
      <c r="G34" s="40"/>
      <c r="H34" s="66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60"/>
      <c r="G36" s="2"/>
      <c r="H36" s="60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76"/>
      <c r="I37" s="39" t="s">
        <v>1363</v>
      </c>
      <c r="J37" s="2" t="s">
        <v>93</v>
      </c>
      <c r="K37" s="2" t="s">
        <v>94</v>
      </c>
      <c r="L37" s="2" t="s">
        <v>95</v>
      </c>
      <c r="M37" s="2" t="s">
        <v>96</v>
      </c>
      <c r="N37" s="2" t="s">
        <v>97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9">
        <v>160</v>
      </c>
      <c r="G38" s="6"/>
      <c r="H38" s="69"/>
      <c r="I38" s="14" t="s">
        <v>47</v>
      </c>
      <c r="J38" s="29">
        <v>0.14000000000000001</v>
      </c>
      <c r="K38" s="30">
        <v>0.13</v>
      </c>
      <c r="L38" s="30">
        <v>0.12</v>
      </c>
      <c r="M38" s="30">
        <v>0.14000000000000001</v>
      </c>
      <c r="N38" s="31">
        <v>0.13</v>
      </c>
      <c r="O38" s="33">
        <f>AVERAGE(J38:N38)</f>
        <v>0.13200000000000001</v>
      </c>
      <c r="P38" s="40"/>
    </row>
    <row r="39" spans="4:16" x14ac:dyDescent="0.25">
      <c r="D39" s="144"/>
      <c r="E39" s="6" t="s">
        <v>1386</v>
      </c>
      <c r="F39" s="69"/>
      <c r="G39" s="6"/>
      <c r="H39" s="69"/>
      <c r="I39" s="14" t="s">
        <v>48</v>
      </c>
      <c r="J39" s="32">
        <v>0.31</v>
      </c>
      <c r="K39" s="33">
        <v>0.37</v>
      </c>
      <c r="L39" s="33">
        <v>0.33</v>
      </c>
      <c r="M39" s="33">
        <v>0.3</v>
      </c>
      <c r="N39" s="34">
        <v>0.28999999999999998</v>
      </c>
      <c r="O39" s="33">
        <f>AVERAGE(J39:N39)</f>
        <v>0.32</v>
      </c>
      <c r="P39" s="40"/>
    </row>
    <row r="40" spans="4:16" x14ac:dyDescent="0.25">
      <c r="D40" s="144"/>
      <c r="E40" s="6" t="s">
        <v>1387</v>
      </c>
      <c r="F40" s="69">
        <v>20</v>
      </c>
      <c r="G40" s="6"/>
      <c r="H40" s="69"/>
      <c r="I40" s="15" t="s">
        <v>49</v>
      </c>
      <c r="J40" s="32">
        <v>0.65</v>
      </c>
      <c r="K40" s="33">
        <v>0.74</v>
      </c>
      <c r="L40" s="33">
        <v>0.49</v>
      </c>
      <c r="M40" s="33">
        <v>0.61</v>
      </c>
      <c r="N40" s="34">
        <v>0.47</v>
      </c>
      <c r="O40" s="33">
        <f>AVERAGE(J40:N40)</f>
        <v>0.59199999999999997</v>
      </c>
      <c r="P40" s="40"/>
    </row>
    <row r="41" spans="4:16" x14ac:dyDescent="0.25">
      <c r="D41" s="144"/>
      <c r="E41" s="6" t="s">
        <v>1388</v>
      </c>
      <c r="F41" s="78">
        <v>170</v>
      </c>
      <c r="G41" s="6"/>
      <c r="H41" s="69"/>
      <c r="I41" s="16" t="s">
        <v>50</v>
      </c>
      <c r="J41" s="32">
        <v>0.79</v>
      </c>
      <c r="K41" s="33">
        <v>0.73</v>
      </c>
      <c r="L41" s="33">
        <v>0.74</v>
      </c>
      <c r="M41" s="33">
        <v>0.75</v>
      </c>
      <c r="N41" s="34">
        <v>0.81</v>
      </c>
      <c r="O41" s="33">
        <f>AVERAGE(J41:N41)</f>
        <v>0.76400000000000001</v>
      </c>
      <c r="P41" s="40"/>
    </row>
    <row r="42" spans="4:16" x14ac:dyDescent="0.25">
      <c r="D42" s="144"/>
      <c r="E42" s="6" t="s">
        <v>1389</v>
      </c>
      <c r="F42" s="69"/>
      <c r="G42" s="6"/>
      <c r="H42" s="69"/>
      <c r="I42" s="16" t="s">
        <v>51</v>
      </c>
      <c r="J42" s="35">
        <v>0.18</v>
      </c>
      <c r="K42" s="28">
        <v>0.15</v>
      </c>
      <c r="L42" s="28">
        <v>0.17</v>
      </c>
      <c r="M42" s="28">
        <v>0.16</v>
      </c>
      <c r="N42" s="36">
        <v>0.17</v>
      </c>
      <c r="O42" s="33">
        <f>AVERAGE(J42:N42)</f>
        <v>0.16600000000000001</v>
      </c>
      <c r="P42" s="40"/>
    </row>
    <row r="43" spans="4:16" x14ac:dyDescent="0.25">
      <c r="D43" s="26"/>
      <c r="E43" s="42"/>
      <c r="F43" s="70"/>
      <c r="G43" s="42"/>
      <c r="H43" s="70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71"/>
      <c r="G44" s="26"/>
      <c r="H44" s="71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72"/>
      <c r="G45" s="37"/>
      <c r="H45" s="72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76"/>
      <c r="I46" s="39" t="s">
        <v>1363</v>
      </c>
      <c r="J46" s="2" t="s">
        <v>93</v>
      </c>
      <c r="K46" s="2" t="s">
        <v>94</v>
      </c>
      <c r="L46" s="2" t="s">
        <v>95</v>
      </c>
      <c r="M46" s="2" t="s">
        <v>96</v>
      </c>
      <c r="N46" s="2" t="s">
        <v>97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73"/>
      <c r="G47" s="8" t="s">
        <v>1365</v>
      </c>
      <c r="H47" s="73"/>
      <c r="I47" s="17" t="s">
        <v>53</v>
      </c>
      <c r="J47" s="29">
        <v>1.61</v>
      </c>
      <c r="K47" s="30">
        <v>1.38</v>
      </c>
      <c r="L47" s="30">
        <v>1.45</v>
      </c>
      <c r="M47" s="30">
        <v>1.56</v>
      </c>
      <c r="N47" s="31">
        <v>1.71</v>
      </c>
      <c r="O47" s="33">
        <f>AVERAGE(J47:N47)</f>
        <v>1.542</v>
      </c>
      <c r="P47" s="40"/>
    </row>
    <row r="48" spans="4:16" x14ac:dyDescent="0.25">
      <c r="D48" s="143"/>
      <c r="E48" s="7" t="s">
        <v>1391</v>
      </c>
      <c r="F48" s="74">
        <v>100</v>
      </c>
      <c r="G48" s="7" t="s">
        <v>1390</v>
      </c>
      <c r="H48" s="74"/>
      <c r="I48" s="18" t="s">
        <v>54</v>
      </c>
      <c r="J48" s="32">
        <v>0.16</v>
      </c>
      <c r="K48" s="33">
        <v>0.16</v>
      </c>
      <c r="L48" s="33">
        <v>0.16</v>
      </c>
      <c r="M48" s="33">
        <v>0.15</v>
      </c>
      <c r="N48" s="34">
        <v>0.17</v>
      </c>
      <c r="O48" s="33">
        <f>AVERAGE(J48:N48)</f>
        <v>0.16</v>
      </c>
      <c r="P48" s="40"/>
    </row>
    <row r="49" spans="4:16" x14ac:dyDescent="0.25">
      <c r="D49" s="143"/>
      <c r="E49" s="7" t="s">
        <v>1392</v>
      </c>
      <c r="F49" s="74">
        <v>0</v>
      </c>
      <c r="G49" s="7" t="s">
        <v>1396</v>
      </c>
      <c r="H49" s="74"/>
      <c r="I49" s="18" t="s">
        <v>55</v>
      </c>
      <c r="J49" s="32">
        <v>0.85</v>
      </c>
      <c r="K49" s="33">
        <v>1.38</v>
      </c>
      <c r="L49" s="33">
        <v>0.49</v>
      </c>
      <c r="M49" s="33">
        <v>0.86</v>
      </c>
      <c r="N49" s="34">
        <v>0.55000000000000004</v>
      </c>
      <c r="O49" s="33">
        <f>AVERAGE(J49:N49)</f>
        <v>0.82599999999999996</v>
      </c>
      <c r="P49" s="40"/>
    </row>
    <row r="50" spans="4:16" x14ac:dyDescent="0.25">
      <c r="D50" s="143"/>
      <c r="E50" s="7" t="s">
        <v>1393</v>
      </c>
      <c r="F50" s="74">
        <v>64</v>
      </c>
      <c r="G50" s="7"/>
      <c r="H50" s="74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4">
        <v>64</v>
      </c>
      <c r="G51" s="7"/>
      <c r="H51" s="74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4">
        <v>50</v>
      </c>
      <c r="G52" s="7"/>
      <c r="H52" s="74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66"/>
      <c r="G53" s="40"/>
      <c r="H53" s="66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47.680000386999993</v>
      </c>
      <c r="K54" s="2">
        <f>SUM(K4:K50)</f>
        <v>45.800000405999995</v>
      </c>
      <c r="L54" s="2">
        <f>SUM(L4:L50)</f>
        <v>40.310000449</v>
      </c>
      <c r="M54" s="2">
        <f>SUM(M4:M50)</f>
        <v>44.800000380999997</v>
      </c>
      <c r="N54" s="2">
        <f>SUM(N4:N50)</f>
        <v>44.220000394000003</v>
      </c>
      <c r="O54" s="38">
        <f>AVERAGE(J54:N54)</f>
        <v>44.562000403399999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0.15750838798331068</v>
      </c>
      <c r="K56" s="104">
        <f>SUM(K4:K18)/K54</f>
        <v>0.1709606971744532</v>
      </c>
      <c r="L56" s="104">
        <f>SUM(L4:L18)/L54</f>
        <v>0.18332919666795311</v>
      </c>
      <c r="M56" s="104">
        <f>SUM(M4:M18)/M54</f>
        <v>0.17433035566027086</v>
      </c>
      <c r="N56" s="104">
        <f>SUM(N4:N18)/N54</f>
        <v>0.17593848780371404</v>
      </c>
      <c r="O56" s="38">
        <f>AVERAGE(J56:N56)</f>
        <v>0.17241342505794038</v>
      </c>
    </row>
    <row r="57" spans="4:16" x14ac:dyDescent="0.25">
      <c r="I57" s="107" t="s">
        <v>45</v>
      </c>
      <c r="J57" s="105">
        <f>J25/J54</f>
        <v>0.74412751073873018</v>
      </c>
      <c r="K57" s="105">
        <f t="shared" ref="K57:N57" si="0">K25/K54</f>
        <v>0.71899562681414364</v>
      </c>
      <c r="L57" s="105">
        <f t="shared" si="0"/>
        <v>0.71868022022606248</v>
      </c>
      <c r="M57" s="105">
        <f t="shared" si="0"/>
        <v>0.72455356526663162</v>
      </c>
      <c r="N57" s="105">
        <f t="shared" si="0"/>
        <v>0.72682043676238683</v>
      </c>
      <c r="O57" s="38">
        <f>AVERAGE(J57:N57)</f>
        <v>0.72663547196159095</v>
      </c>
    </row>
    <row r="58" spans="4:16" x14ac:dyDescent="0.25">
      <c r="I58" s="108" t="s">
        <v>46</v>
      </c>
      <c r="J58" s="102">
        <f>SUM(J38:J42)/J54</f>
        <v>4.341442917782333E-2</v>
      </c>
      <c r="K58" s="102">
        <f>SUM(K38:K42)/K54</f>
        <v>4.6288209196659116E-2</v>
      </c>
      <c r="L58" s="102">
        <f>SUM(L38:L42)/L54</f>
        <v>4.589431851633468E-2</v>
      </c>
      <c r="M58" s="102">
        <f>SUM(M38:M42)/M54</f>
        <v>4.3749999627929692E-2</v>
      </c>
      <c r="N58" s="102">
        <f>SUM(N38:N42)/N54</f>
        <v>4.2288556837139495E-2</v>
      </c>
      <c r="O58" s="38">
        <f>AVERAGE(J58:N58)</f>
        <v>4.4327102671177267E-2</v>
      </c>
    </row>
    <row r="59" spans="4:16" x14ac:dyDescent="0.25">
      <c r="I59" s="109" t="s">
        <v>1448</v>
      </c>
      <c r="J59" s="103">
        <f>SUM(J47:J49)/J54</f>
        <v>5.4949663983525181E-2</v>
      </c>
      <c r="K59" s="103">
        <f>SUM(K47:K49)/K54</f>
        <v>6.3755457950115377E-2</v>
      </c>
      <c r="L59" s="103">
        <f>SUM(L47:L49)/L54</f>
        <v>5.2096253450974496E-2</v>
      </c>
      <c r="M59" s="103">
        <f>SUM(M47:M49)/M54</f>
        <v>5.7366070940703728E-2</v>
      </c>
      <c r="N59" s="103">
        <f>SUM(N47:N49)/N54</f>
        <v>5.4952509686764149E-2</v>
      </c>
      <c r="O59" s="38">
        <f>AVERAGE(J59:N59)</f>
        <v>5.6623991202416582E-2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13.541984732824424</v>
      </c>
      <c r="K61" s="27">
        <f t="shared" ref="K61:N61" si="1">K57/K59</f>
        <v>11.277397260273974</v>
      </c>
      <c r="L61" s="27">
        <f t="shared" si="1"/>
        <v>13.795238095238096</v>
      </c>
      <c r="M61" s="27">
        <f t="shared" si="1"/>
        <v>12.63035019455253</v>
      </c>
      <c r="N61" s="27">
        <f t="shared" si="1"/>
        <v>13.226337448559672</v>
      </c>
      <c r="O61" s="38">
        <f>AVERAGE(J61:N61)</f>
        <v>12.894261546289741</v>
      </c>
    </row>
    <row r="62" spans="4:16" x14ac:dyDescent="0.25">
      <c r="I62" s="75"/>
    </row>
    <row r="63" spans="4:16" x14ac:dyDescent="0.25">
      <c r="D63" s="2"/>
      <c r="E63" s="39" t="s">
        <v>1451</v>
      </c>
      <c r="F63" s="60"/>
      <c r="G63" s="60"/>
      <c r="I63" s="75"/>
    </row>
    <row r="64" spans="4:16" x14ac:dyDescent="0.25">
      <c r="D64" s="2"/>
      <c r="E64" s="2" t="s">
        <v>1453</v>
      </c>
      <c r="F64" s="60">
        <v>1</v>
      </c>
      <c r="G64" s="54" t="s">
        <v>1452</v>
      </c>
      <c r="H64" s="66"/>
      <c r="I64" s="75"/>
    </row>
    <row r="65" spans="5:8" x14ac:dyDescent="0.25">
      <c r="E65" s="40"/>
      <c r="F65" s="40"/>
      <c r="G65" s="40"/>
      <c r="H65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4" location="'c30'!A1" display="Prev"/>
    <hyperlink ref="B8" location="'c65'!A1" display="Next"/>
    <hyperlink ref="B10:B11" location="'Index of Integers'!A28" display="Index of Integers"/>
    <hyperlink ref="B13:B14" location="'Index of Parameters'!F2" display="Index of Parameters"/>
    <hyperlink ref="B16:B17" location="'Index of Results'!F2" display="Index of Results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7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7.140625" style="75" bestFit="1" customWidth="1"/>
    <col min="7" max="7" width="23.28515625" style="24" bestFit="1" customWidth="1"/>
    <col min="8" max="8" width="7.140625" style="75" bestFit="1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2</v>
      </c>
      <c r="D2" s="2"/>
      <c r="E2" s="2"/>
      <c r="F2" s="60"/>
      <c r="G2" s="2"/>
      <c r="H2" s="60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76"/>
      <c r="I3" s="39" t="s">
        <v>1363</v>
      </c>
      <c r="J3" s="2" t="s">
        <v>112</v>
      </c>
      <c r="K3" s="2" t="s">
        <v>113</v>
      </c>
      <c r="L3" s="2" t="s">
        <v>114</v>
      </c>
      <c r="M3" s="2" t="s">
        <v>115</v>
      </c>
      <c r="N3" s="2" t="s">
        <v>116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61"/>
      <c r="G4" s="3" t="s">
        <v>1365</v>
      </c>
      <c r="H4" s="61"/>
      <c r="I4" s="9" t="s">
        <v>41</v>
      </c>
      <c r="J4" s="29">
        <v>2.0299999999999998</v>
      </c>
      <c r="K4" s="30">
        <v>2.12</v>
      </c>
      <c r="L4" s="30">
        <v>1.86</v>
      </c>
      <c r="M4" s="30">
        <v>1.96</v>
      </c>
      <c r="N4" s="31">
        <v>1.94</v>
      </c>
      <c r="O4" s="33">
        <f>AVERAGE(J4:N4)</f>
        <v>1.982</v>
      </c>
      <c r="P4" s="40"/>
      <c r="R4">
        <f>O4+O13</f>
        <v>11.305999999999999</v>
      </c>
    </row>
    <row r="5" spans="2:18" x14ac:dyDescent="0.25">
      <c r="B5" s="54"/>
      <c r="D5" s="141"/>
      <c r="E5" s="20" t="s">
        <v>1397</v>
      </c>
      <c r="F5" s="62"/>
      <c r="G5" s="20" t="s">
        <v>1366</v>
      </c>
      <c r="H5" s="62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63">
        <v>0</v>
      </c>
      <c r="G6" s="20" t="s">
        <v>1397</v>
      </c>
      <c r="H6" s="62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63">
        <v>22000</v>
      </c>
      <c r="G7" s="21" t="s">
        <v>1370</v>
      </c>
      <c r="H7" s="63">
        <v>11000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62">
        <v>950</v>
      </c>
      <c r="G8" s="20" t="s">
        <v>1373</v>
      </c>
      <c r="H8" s="62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7">
        <v>0</v>
      </c>
      <c r="G9" s="22"/>
      <c r="H9" s="64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62">
        <v>64</v>
      </c>
      <c r="G10" s="22"/>
      <c r="H10" s="64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62">
        <v>15</v>
      </c>
      <c r="G11" s="22"/>
      <c r="H11" s="64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65">
        <v>4</v>
      </c>
      <c r="G12" s="23"/>
      <c r="H12" s="65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62">
        <v>0.1</v>
      </c>
      <c r="G13" s="20"/>
      <c r="H13" s="62"/>
      <c r="I13" s="10" t="s">
        <v>42</v>
      </c>
      <c r="J13" s="32">
        <v>9.19</v>
      </c>
      <c r="K13" s="33">
        <v>9.25</v>
      </c>
      <c r="L13" s="33">
        <v>9.9700000000000006</v>
      </c>
      <c r="M13" s="33">
        <v>9.85</v>
      </c>
      <c r="N13" s="34">
        <v>8.36</v>
      </c>
      <c r="O13" s="33">
        <f>AVERAGE(J13:N13)</f>
        <v>9.3239999999999998</v>
      </c>
      <c r="P13" s="40"/>
    </row>
    <row r="14" spans="2:18" x14ac:dyDescent="0.25">
      <c r="B14" s="139"/>
      <c r="D14" s="141"/>
      <c r="E14" s="23"/>
      <c r="F14" s="65"/>
      <c r="G14" s="23"/>
      <c r="H14" s="65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62"/>
      <c r="G15" s="20"/>
      <c r="H15" s="62"/>
      <c r="I15" s="10" t="s">
        <v>43</v>
      </c>
      <c r="J15" s="32">
        <v>0.19</v>
      </c>
      <c r="K15" s="33">
        <v>0.18</v>
      </c>
      <c r="L15" s="33">
        <v>0.2</v>
      </c>
      <c r="M15" s="33">
        <v>0.18</v>
      </c>
      <c r="N15" s="34">
        <v>0.19</v>
      </c>
      <c r="O15" s="33">
        <f>AVERAGE(J15:N15)</f>
        <v>0.188</v>
      </c>
      <c r="P15" s="40"/>
    </row>
    <row r="16" spans="2:18" x14ac:dyDescent="0.25">
      <c r="B16" s="139" t="s">
        <v>1470</v>
      </c>
      <c r="D16" s="141"/>
      <c r="E16" s="23"/>
      <c r="F16" s="65"/>
      <c r="G16" s="23"/>
      <c r="H16" s="65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62"/>
      <c r="G17" s="20"/>
      <c r="H17" s="62"/>
      <c r="I17" s="10" t="s">
        <v>44</v>
      </c>
      <c r="J17" s="32">
        <v>0.76</v>
      </c>
      <c r="K17" s="33">
        <v>0.75</v>
      </c>
      <c r="L17" s="33">
        <v>0.73</v>
      </c>
      <c r="M17" s="33">
        <v>0.76</v>
      </c>
      <c r="N17" s="34">
        <v>0.75</v>
      </c>
      <c r="O17" s="33">
        <f>AVERAGE(J17:N17)</f>
        <v>0.75</v>
      </c>
      <c r="P17" s="40"/>
    </row>
    <row r="18" spans="2:16" x14ac:dyDescent="0.25">
      <c r="B18" s="2"/>
      <c r="D18" s="141"/>
      <c r="E18" s="20"/>
      <c r="F18" s="62"/>
      <c r="G18" s="20"/>
      <c r="H18" s="62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66"/>
      <c r="G19" s="40"/>
      <c r="H19" s="66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3.0699999999999998E-7</v>
      </c>
      <c r="K21" s="110">
        <v>3.9000000000000002E-7</v>
      </c>
      <c r="L21" s="110">
        <v>3.0899999999999997E-7</v>
      </c>
      <c r="M21" s="110">
        <v>3.5100000000000001E-7</v>
      </c>
      <c r="N21" s="110">
        <v>3.5900000000000003E-7</v>
      </c>
      <c r="O21" s="38">
        <f>AVERAGE(J21:N21)</f>
        <v>3.432E-7</v>
      </c>
    </row>
    <row r="23" spans="2:16" x14ac:dyDescent="0.25">
      <c r="D23" s="2"/>
      <c r="E23" s="2"/>
      <c r="F23" s="60"/>
      <c r="G23" s="2"/>
      <c r="H23" s="60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76"/>
      <c r="I24" s="39" t="s">
        <v>1363</v>
      </c>
      <c r="J24" s="2" t="s">
        <v>112</v>
      </c>
      <c r="K24" s="2" t="s">
        <v>113</v>
      </c>
      <c r="L24" s="2" t="s">
        <v>114</v>
      </c>
      <c r="M24" s="2" t="s">
        <v>115</v>
      </c>
      <c r="N24" s="2" t="s">
        <v>116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67"/>
      <c r="G25" s="4" t="s">
        <v>1365</v>
      </c>
      <c r="H25" s="67"/>
      <c r="I25" s="52" t="s">
        <v>45</v>
      </c>
      <c r="J25" s="29">
        <v>66.23</v>
      </c>
      <c r="K25" s="30">
        <v>59.61</v>
      </c>
      <c r="L25" s="30">
        <v>64.53</v>
      </c>
      <c r="M25" s="30">
        <v>60.17</v>
      </c>
      <c r="N25" s="31">
        <v>60.32</v>
      </c>
      <c r="O25" s="33">
        <f>AVERAGE(J25:N25)</f>
        <v>62.172000000000004</v>
      </c>
      <c r="P25" s="40"/>
    </row>
    <row r="26" spans="2:16" x14ac:dyDescent="0.25">
      <c r="D26" s="142"/>
      <c r="E26" s="5" t="s">
        <v>1376</v>
      </c>
      <c r="F26" s="68">
        <v>18</v>
      </c>
      <c r="G26" s="5" t="s">
        <v>1384</v>
      </c>
      <c r="H26" s="68">
        <v>35979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68">
        <v>40</v>
      </c>
      <c r="G27" s="5" t="s">
        <v>1383</v>
      </c>
      <c r="H27" s="68">
        <v>1000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68"/>
      <c r="G28" s="5" t="s">
        <v>1373</v>
      </c>
      <c r="H28" s="68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68"/>
      <c r="G29" s="5"/>
      <c r="H29" s="68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68">
        <v>16</v>
      </c>
      <c r="G30" s="5"/>
      <c r="H30" s="68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68">
        <v>14</v>
      </c>
      <c r="G31" s="5"/>
      <c r="H31" s="68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68"/>
      <c r="G32" s="5"/>
      <c r="H32" s="68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68">
        <v>11</v>
      </c>
      <c r="G33" s="5"/>
      <c r="H33" s="68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66"/>
      <c r="G34" s="40"/>
      <c r="H34" s="66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60"/>
      <c r="G36" s="2"/>
      <c r="H36" s="60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76"/>
      <c r="I37" s="39" t="s">
        <v>1363</v>
      </c>
      <c r="J37" s="2" t="s">
        <v>112</v>
      </c>
      <c r="K37" s="2" t="s">
        <v>113</v>
      </c>
      <c r="L37" s="2" t="s">
        <v>114</v>
      </c>
      <c r="M37" s="2" t="s">
        <v>115</v>
      </c>
      <c r="N37" s="2" t="s">
        <v>116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9">
        <v>160</v>
      </c>
      <c r="G38" s="6"/>
      <c r="H38" s="69"/>
      <c r="I38" s="14" t="s">
        <v>47</v>
      </c>
      <c r="J38" s="29">
        <v>0.26</v>
      </c>
      <c r="K38" s="30">
        <v>0.24</v>
      </c>
      <c r="L38" s="30">
        <v>0.24</v>
      </c>
      <c r="M38" s="30">
        <v>0.27</v>
      </c>
      <c r="N38" s="31">
        <v>0.28999999999999998</v>
      </c>
      <c r="O38" s="33">
        <f>AVERAGE(J38:N38)</f>
        <v>0.26</v>
      </c>
      <c r="P38" s="40"/>
    </row>
    <row r="39" spans="4:16" x14ac:dyDescent="0.25">
      <c r="D39" s="144"/>
      <c r="E39" s="6" t="s">
        <v>1386</v>
      </c>
      <c r="F39" s="69"/>
      <c r="G39" s="6"/>
      <c r="H39" s="69"/>
      <c r="I39" s="14" t="s">
        <v>48</v>
      </c>
      <c r="J39" s="32">
        <v>0.8</v>
      </c>
      <c r="K39" s="33">
        <v>0.62</v>
      </c>
      <c r="L39" s="33">
        <v>0.59</v>
      </c>
      <c r="M39" s="33">
        <v>0.59</v>
      </c>
      <c r="N39" s="34">
        <v>0.72</v>
      </c>
      <c r="O39" s="33">
        <f>AVERAGE(J39:N39)</f>
        <v>0.66399999999999992</v>
      </c>
      <c r="P39" s="40"/>
    </row>
    <row r="40" spans="4:16" x14ac:dyDescent="0.25">
      <c r="D40" s="144"/>
      <c r="E40" s="6" t="s">
        <v>1387</v>
      </c>
      <c r="F40" s="69">
        <v>20</v>
      </c>
      <c r="G40" s="6"/>
      <c r="H40" s="69"/>
      <c r="I40" s="15" t="s">
        <v>49</v>
      </c>
      <c r="J40" s="32">
        <v>1.25</v>
      </c>
      <c r="K40" s="33">
        <v>1.28</v>
      </c>
      <c r="L40" s="33">
        <v>1.25</v>
      </c>
      <c r="M40" s="33">
        <v>1.1499999999999999</v>
      </c>
      <c r="N40" s="34">
        <v>1.27</v>
      </c>
      <c r="O40" s="33">
        <f>AVERAGE(J40:N40)</f>
        <v>1.2399999999999998</v>
      </c>
      <c r="P40" s="40"/>
    </row>
    <row r="41" spans="4:16" x14ac:dyDescent="0.25">
      <c r="D41" s="144"/>
      <c r="E41" s="6" t="s">
        <v>1388</v>
      </c>
      <c r="F41" s="78">
        <v>170</v>
      </c>
      <c r="G41" s="6"/>
      <c r="H41" s="69"/>
      <c r="I41" s="16" t="s">
        <v>50</v>
      </c>
      <c r="J41" s="32">
        <v>1.34</v>
      </c>
      <c r="K41" s="33">
        <v>1.39</v>
      </c>
      <c r="L41" s="33">
        <v>1.39</v>
      </c>
      <c r="M41" s="33">
        <v>1.48</v>
      </c>
      <c r="N41" s="34">
        <v>1.4</v>
      </c>
      <c r="O41" s="33">
        <f>AVERAGE(J41:N41)</f>
        <v>1.4</v>
      </c>
      <c r="P41" s="40"/>
    </row>
    <row r="42" spans="4:16" x14ac:dyDescent="0.25">
      <c r="D42" s="144"/>
      <c r="E42" s="6" t="s">
        <v>1389</v>
      </c>
      <c r="F42" s="69"/>
      <c r="G42" s="6"/>
      <c r="H42" s="69"/>
      <c r="I42" s="16" t="s">
        <v>51</v>
      </c>
      <c r="J42" s="35">
        <v>0.27</v>
      </c>
      <c r="K42" s="28">
        <v>0.27</v>
      </c>
      <c r="L42" s="28">
        <v>0.28000000000000003</v>
      </c>
      <c r="M42" s="28">
        <v>0.28000000000000003</v>
      </c>
      <c r="N42" s="36">
        <v>0.28000000000000003</v>
      </c>
      <c r="O42" s="33">
        <f>AVERAGE(J42:N42)</f>
        <v>0.27600000000000002</v>
      </c>
      <c r="P42" s="40"/>
    </row>
    <row r="43" spans="4:16" x14ac:dyDescent="0.25">
      <c r="D43" s="26"/>
      <c r="E43" s="42"/>
      <c r="F43" s="70"/>
      <c r="G43" s="42"/>
      <c r="H43" s="70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71"/>
      <c r="G44" s="26"/>
      <c r="H44" s="71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72"/>
      <c r="G45" s="37"/>
      <c r="H45" s="72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76"/>
      <c r="I46" s="39" t="s">
        <v>1363</v>
      </c>
      <c r="J46" s="2" t="s">
        <v>112</v>
      </c>
      <c r="K46" s="2" t="s">
        <v>113</v>
      </c>
      <c r="L46" s="2" t="s">
        <v>114</v>
      </c>
      <c r="M46" s="2" t="s">
        <v>115</v>
      </c>
      <c r="N46" s="2" t="s">
        <v>116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73"/>
      <c r="G47" s="8" t="s">
        <v>1365</v>
      </c>
      <c r="H47" s="73"/>
      <c r="I47" s="17" t="s">
        <v>53</v>
      </c>
      <c r="J47" s="29">
        <v>2.13</v>
      </c>
      <c r="K47" s="30">
        <v>2.09</v>
      </c>
      <c r="L47" s="30">
        <v>2.17</v>
      </c>
      <c r="M47" s="30">
        <v>2.31</v>
      </c>
      <c r="N47" s="31">
        <v>2.2200000000000002</v>
      </c>
      <c r="O47" s="33">
        <f>AVERAGE(J47:N47)</f>
        <v>2.1840000000000002</v>
      </c>
      <c r="P47" s="40"/>
    </row>
    <row r="48" spans="4:16" x14ac:dyDescent="0.25">
      <c r="D48" s="143"/>
      <c r="E48" s="7" t="s">
        <v>1391</v>
      </c>
      <c r="F48" s="74">
        <v>100</v>
      </c>
      <c r="G48" s="7" t="s">
        <v>1390</v>
      </c>
      <c r="H48" s="74"/>
      <c r="I48" s="18" t="s">
        <v>54</v>
      </c>
      <c r="J48" s="32">
        <v>0.25</v>
      </c>
      <c r="K48" s="33">
        <v>0.26</v>
      </c>
      <c r="L48" s="33">
        <v>0.25</v>
      </c>
      <c r="M48" s="33">
        <v>0.28000000000000003</v>
      </c>
      <c r="N48" s="34">
        <v>0.27</v>
      </c>
      <c r="O48" s="33">
        <f>AVERAGE(J48:N48)</f>
        <v>0.26200000000000001</v>
      </c>
      <c r="P48" s="40"/>
    </row>
    <row r="49" spans="4:16" x14ac:dyDescent="0.25">
      <c r="D49" s="143"/>
      <c r="E49" s="7" t="s">
        <v>1392</v>
      </c>
      <c r="F49" s="74">
        <v>0</v>
      </c>
      <c r="G49" s="7" t="s">
        <v>1396</v>
      </c>
      <c r="H49" s="74"/>
      <c r="I49" s="18" t="s">
        <v>55</v>
      </c>
      <c r="J49" s="32">
        <v>0.79</v>
      </c>
      <c r="K49" s="33">
        <v>0.85</v>
      </c>
      <c r="L49" s="33">
        <v>2.04</v>
      </c>
      <c r="M49" s="33">
        <v>1.47</v>
      </c>
      <c r="N49" s="34">
        <v>0.83</v>
      </c>
      <c r="O49" s="33">
        <f>AVERAGE(J49:N49)</f>
        <v>1.1960000000000002</v>
      </c>
      <c r="P49" s="40"/>
    </row>
    <row r="50" spans="4:16" x14ac:dyDescent="0.25">
      <c r="D50" s="143"/>
      <c r="E50" s="7" t="s">
        <v>1393</v>
      </c>
      <c r="F50" s="74">
        <v>64</v>
      </c>
      <c r="G50" s="7"/>
      <c r="H50" s="74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4">
        <v>64</v>
      </c>
      <c r="G51" s="7"/>
      <c r="H51" s="74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4">
        <v>50</v>
      </c>
      <c r="G52" s="7"/>
      <c r="H52" s="74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66"/>
      <c r="G53" s="40"/>
      <c r="H53" s="66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85.490000307000003</v>
      </c>
      <c r="K54" s="2">
        <f>SUM(K4:K50)</f>
        <v>78.910000389999993</v>
      </c>
      <c r="L54" s="2">
        <f>SUM(L4:L50)</f>
        <v>85.500000309000015</v>
      </c>
      <c r="M54" s="2">
        <f>SUM(M4:M50)</f>
        <v>80.750000351000011</v>
      </c>
      <c r="N54" s="2">
        <f>SUM(N4:N50)</f>
        <v>78.840000359000001</v>
      </c>
      <c r="O54" s="38">
        <f>AVERAGE(J54:N54)</f>
        <v>81.89800034320001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0.14235583058014689</v>
      </c>
      <c r="K56" s="104">
        <f>SUM(K4:K18)/K54</f>
        <v>0.15587377948560674</v>
      </c>
      <c r="L56" s="104">
        <f>SUM(L4:L18)/L54</f>
        <v>0.14923976554251356</v>
      </c>
      <c r="M56" s="104">
        <f>SUM(M4:M18)/M54</f>
        <v>0.1578947361557764</v>
      </c>
      <c r="N56" s="104">
        <f>SUM(N4:N18)/N54</f>
        <v>0.14256722410982198</v>
      </c>
      <c r="O56" s="38">
        <f>AVERAGE(J56:N56)</f>
        <v>0.14958626717477311</v>
      </c>
    </row>
    <row r="57" spans="4:16" x14ac:dyDescent="0.25">
      <c r="I57" s="107" t="s">
        <v>45</v>
      </c>
      <c r="J57" s="105">
        <f>J25/J54</f>
        <v>0.77471048967322353</v>
      </c>
      <c r="K57" s="105">
        <f t="shared" ref="K57:N57" si="0">K25/K54</f>
        <v>0.75541756058024534</v>
      </c>
      <c r="L57" s="105">
        <f t="shared" si="0"/>
        <v>0.7547368393776176</v>
      </c>
      <c r="M57" s="105">
        <f t="shared" si="0"/>
        <v>0.74513931564651514</v>
      </c>
      <c r="N57" s="105">
        <f t="shared" si="0"/>
        <v>0.76509385750039705</v>
      </c>
      <c r="O57" s="38">
        <f>AVERAGE(J57:N57)</f>
        <v>0.75901961255559969</v>
      </c>
    </row>
    <row r="58" spans="4:16" x14ac:dyDescent="0.25">
      <c r="I58" s="108" t="s">
        <v>46</v>
      </c>
      <c r="J58" s="102">
        <f>SUM(J38:J42)/J54</f>
        <v>4.5853316012668524E-2</v>
      </c>
      <c r="K58" s="102">
        <f>SUM(K38:K42)/K54</f>
        <v>4.81561269955533E-2</v>
      </c>
      <c r="L58" s="102">
        <f>SUM(L38:L42)/L54</f>
        <v>4.3859648964296699E-2</v>
      </c>
      <c r="M58" s="102">
        <f>SUM(M38:M42)/M54</f>
        <v>4.6687306298609961E-2</v>
      </c>
      <c r="N58" s="102">
        <f>SUM(N38:N42)/N54</f>
        <v>5.0228310273567181E-2</v>
      </c>
      <c r="O58" s="38">
        <f>AVERAGE(J58:N58)</f>
        <v>4.6956941708939125E-2</v>
      </c>
    </row>
    <row r="59" spans="4:16" x14ac:dyDescent="0.25">
      <c r="I59" s="109" t="s">
        <v>1448</v>
      </c>
      <c r="J59" s="103">
        <f>SUM(J47:J49)/J54</f>
        <v>3.7080360142897756E-2</v>
      </c>
      <c r="K59" s="103">
        <f>SUM(K47:K49)/K54</f>
        <v>4.0552527996255409E-2</v>
      </c>
      <c r="L59" s="103">
        <f>SUM(L47:L49)/L54</f>
        <v>5.2163742501536874E-2</v>
      </c>
      <c r="M59" s="103">
        <f>SUM(M47:M49)/M54</f>
        <v>5.0278637552349195E-2</v>
      </c>
      <c r="N59" s="103">
        <f>SUM(N47:N49)/N54</f>
        <v>4.2110603562687643E-2</v>
      </c>
      <c r="O59" s="38">
        <f>AVERAGE(J59:N59)</f>
        <v>4.443717435114538E-2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20.892744479495271</v>
      </c>
      <c r="K61" s="27">
        <f t="shared" ref="K61:N61" si="1">K57/K59</f>
        <v>18.628125000000001</v>
      </c>
      <c r="L61" s="27">
        <f t="shared" si="1"/>
        <v>14.468609865470851</v>
      </c>
      <c r="M61" s="27">
        <f t="shared" si="1"/>
        <v>14.820197044334977</v>
      </c>
      <c r="N61" s="27">
        <f t="shared" si="1"/>
        <v>18.168674698795179</v>
      </c>
      <c r="O61" s="38">
        <f>AVERAGE(J61:N61)</f>
        <v>17.395670217619255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E67" s="40"/>
      <c r="F67" s="40"/>
      <c r="G67" s="40"/>
      <c r="H67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70'!A1" display="Next"/>
    <hyperlink ref="B4" location="'c60'!A1" display="Prev"/>
    <hyperlink ref="B10:B11" location="'Index of Integers'!A39" display="Index of Integers"/>
    <hyperlink ref="B13:B14" location="'Index of Parameters'!G2" display="Index of Parameters"/>
    <hyperlink ref="B16:B17" location="'Index of Results'!G2" display="Index of Results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6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7.140625" style="75" bestFit="1" customWidth="1"/>
    <col min="7" max="7" width="23.28515625" style="24" bestFit="1" customWidth="1"/>
    <col min="8" max="8" width="23.28515625" style="75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3</v>
      </c>
      <c r="D2" s="2"/>
      <c r="E2" s="2"/>
      <c r="F2" s="60"/>
      <c r="G2" s="2"/>
      <c r="H2" s="60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76"/>
      <c r="I3" s="39" t="s">
        <v>1363</v>
      </c>
      <c r="J3" s="2" t="s">
        <v>132</v>
      </c>
      <c r="K3" s="2" t="s">
        <v>133</v>
      </c>
      <c r="L3" s="2" t="s">
        <v>134</v>
      </c>
      <c r="M3" s="2" t="s">
        <v>135</v>
      </c>
      <c r="N3" s="2" t="s">
        <v>136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61"/>
      <c r="G4" s="3" t="s">
        <v>1365</v>
      </c>
      <c r="H4" s="61"/>
      <c r="I4" s="9" t="s">
        <v>41</v>
      </c>
      <c r="J4" s="29">
        <v>3.76</v>
      </c>
      <c r="K4" s="30">
        <v>3.86</v>
      </c>
      <c r="L4" s="30">
        <v>3.77</v>
      </c>
      <c r="M4" s="30">
        <v>3.9</v>
      </c>
      <c r="N4" s="31">
        <v>3.98</v>
      </c>
      <c r="O4" s="33">
        <f>AVERAGE(J4:N4)</f>
        <v>3.8540000000000001</v>
      </c>
      <c r="P4" s="40"/>
      <c r="R4">
        <f>O4+O13</f>
        <v>17.169999999999998</v>
      </c>
    </row>
    <row r="5" spans="2:18" x14ac:dyDescent="0.25">
      <c r="B5" s="54"/>
      <c r="D5" s="141"/>
      <c r="E5" s="20" t="s">
        <v>1397</v>
      </c>
      <c r="F5" s="62"/>
      <c r="G5" s="20" t="s">
        <v>1366</v>
      </c>
      <c r="H5" s="62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63">
        <v>0</v>
      </c>
      <c r="G6" s="20" t="s">
        <v>1397</v>
      </c>
      <c r="H6" s="62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63">
        <v>44000</v>
      </c>
      <c r="G7" s="21" t="s">
        <v>1370</v>
      </c>
      <c r="H7" s="63">
        <v>22000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62">
        <v>1800</v>
      </c>
      <c r="G8" s="20" t="s">
        <v>1373</v>
      </c>
      <c r="H8" s="62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7">
        <v>0</v>
      </c>
      <c r="G9" s="22"/>
      <c r="H9" s="64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62">
        <v>64</v>
      </c>
      <c r="G10" s="22"/>
      <c r="H10" s="64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62">
        <v>20</v>
      </c>
      <c r="G11" s="22"/>
      <c r="H11" s="64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65">
        <v>4</v>
      </c>
      <c r="G12" s="23"/>
      <c r="H12" s="65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62">
        <v>0.1</v>
      </c>
      <c r="G13" s="20"/>
      <c r="H13" s="62"/>
      <c r="I13" s="10" t="s">
        <v>42</v>
      </c>
      <c r="J13" s="32">
        <v>13.84</v>
      </c>
      <c r="K13" s="33">
        <v>12.85</v>
      </c>
      <c r="L13" s="33">
        <v>13.4</v>
      </c>
      <c r="M13" s="33">
        <v>13.11</v>
      </c>
      <c r="N13" s="34">
        <v>13.38</v>
      </c>
      <c r="O13" s="33">
        <f>AVERAGE(J13:N13)</f>
        <v>13.315999999999999</v>
      </c>
      <c r="P13" s="40"/>
    </row>
    <row r="14" spans="2:18" x14ac:dyDescent="0.25">
      <c r="B14" s="139"/>
      <c r="D14" s="141"/>
      <c r="E14" s="23"/>
      <c r="F14" s="65"/>
      <c r="G14" s="23"/>
      <c r="H14" s="65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62"/>
      <c r="G15" s="20"/>
      <c r="H15" s="62"/>
      <c r="I15" s="10" t="s">
        <v>43</v>
      </c>
      <c r="J15" s="32">
        <v>0.2</v>
      </c>
      <c r="K15" s="33">
        <v>0.2</v>
      </c>
      <c r="L15" s="33">
        <v>0.2</v>
      </c>
      <c r="M15" s="33">
        <v>0.2</v>
      </c>
      <c r="N15" s="34">
        <v>0.2</v>
      </c>
      <c r="O15" s="33">
        <f>AVERAGE(J15:N15)</f>
        <v>0.2</v>
      </c>
      <c r="P15" s="40"/>
    </row>
    <row r="16" spans="2:18" x14ac:dyDescent="0.25">
      <c r="B16" s="139" t="s">
        <v>1470</v>
      </c>
      <c r="D16" s="141"/>
      <c r="E16" s="23"/>
      <c r="F16" s="65"/>
      <c r="G16" s="23"/>
      <c r="H16" s="65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62"/>
      <c r="G17" s="20"/>
      <c r="H17" s="62"/>
      <c r="I17" s="10" t="s">
        <v>44</v>
      </c>
      <c r="J17" s="32">
        <v>1.5</v>
      </c>
      <c r="K17" s="33">
        <v>1.49</v>
      </c>
      <c r="L17" s="33">
        <v>1.5</v>
      </c>
      <c r="M17" s="33">
        <v>1.5</v>
      </c>
      <c r="N17" s="34">
        <v>1.51</v>
      </c>
      <c r="O17" s="33">
        <f>AVERAGE(J17:N17)</f>
        <v>1.5</v>
      </c>
      <c r="P17" s="40"/>
    </row>
    <row r="18" spans="2:16" x14ac:dyDescent="0.25">
      <c r="B18" s="2"/>
      <c r="D18" s="141"/>
      <c r="E18" s="20"/>
      <c r="F18" s="62"/>
      <c r="G18" s="20"/>
      <c r="H18" s="62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66"/>
      <c r="G19" s="40"/>
      <c r="H19" s="66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1.6E-7</v>
      </c>
      <c r="K21" s="110">
        <v>1.6500000000000001E-7</v>
      </c>
      <c r="L21" s="110">
        <v>1.5800000000000001E-7</v>
      </c>
      <c r="M21" s="110">
        <v>1.99E-7</v>
      </c>
      <c r="N21" s="110">
        <v>2.3900000000000001E-7</v>
      </c>
      <c r="O21" s="38">
        <f>AVERAGE(J21:N21)</f>
        <v>1.8420000000000002E-7</v>
      </c>
    </row>
    <row r="23" spans="2:16" x14ac:dyDescent="0.25">
      <c r="D23" s="2"/>
      <c r="E23" s="2"/>
      <c r="F23" s="60"/>
      <c r="G23" s="2"/>
      <c r="H23" s="60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76"/>
      <c r="I24" s="39" t="s">
        <v>1363</v>
      </c>
      <c r="J24" s="2" t="s">
        <v>132</v>
      </c>
      <c r="K24" s="2" t="s">
        <v>133</v>
      </c>
      <c r="L24" s="2" t="s">
        <v>134</v>
      </c>
      <c r="M24" s="2" t="s">
        <v>135</v>
      </c>
      <c r="N24" s="2" t="s">
        <v>136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67"/>
      <c r="G25" s="4" t="s">
        <v>1365</v>
      </c>
      <c r="H25" s="67"/>
      <c r="I25" s="52" t="s">
        <v>45</v>
      </c>
      <c r="J25" s="29">
        <v>100.12</v>
      </c>
      <c r="K25" s="30">
        <v>106.85</v>
      </c>
      <c r="L25" s="30">
        <v>113.37</v>
      </c>
      <c r="M25" s="30">
        <v>91.85</v>
      </c>
      <c r="N25" s="31">
        <v>86.77</v>
      </c>
      <c r="O25" s="33">
        <f>AVERAGE(J25:N25)</f>
        <v>99.792000000000002</v>
      </c>
      <c r="P25" s="40"/>
    </row>
    <row r="26" spans="2:16" x14ac:dyDescent="0.25">
      <c r="D26" s="142"/>
      <c r="E26" s="5" t="s">
        <v>1376</v>
      </c>
      <c r="F26" s="68">
        <v>19</v>
      </c>
      <c r="G26" s="5" t="s">
        <v>1384</v>
      </c>
      <c r="H26" s="68">
        <v>18640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68">
        <v>42</v>
      </c>
      <c r="G27" s="5" t="s">
        <v>1383</v>
      </c>
      <c r="H27" s="68">
        <v>1000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68"/>
      <c r="G28" s="5" t="s">
        <v>1373</v>
      </c>
      <c r="H28" s="68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68"/>
      <c r="G29" s="5"/>
      <c r="H29" s="68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68">
        <v>16</v>
      </c>
      <c r="G30" s="5"/>
      <c r="H30" s="68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68">
        <v>14</v>
      </c>
      <c r="G31" s="5"/>
      <c r="H31" s="68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68"/>
      <c r="G32" s="5"/>
      <c r="H32" s="68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68">
        <v>11</v>
      </c>
      <c r="G33" s="5"/>
      <c r="H33" s="68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66"/>
      <c r="G34" s="40"/>
      <c r="H34" s="66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60"/>
      <c r="G36" s="2"/>
      <c r="H36" s="60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76"/>
      <c r="I37" s="39" t="s">
        <v>1363</v>
      </c>
      <c r="J37" s="2" t="s">
        <v>132</v>
      </c>
      <c r="K37" s="2" t="s">
        <v>133</v>
      </c>
      <c r="L37" s="2" t="s">
        <v>134</v>
      </c>
      <c r="M37" s="2" t="s">
        <v>135</v>
      </c>
      <c r="N37" s="2" t="s">
        <v>136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9">
        <v>160</v>
      </c>
      <c r="G38" s="6"/>
      <c r="H38" s="69"/>
      <c r="I38" s="14" t="s">
        <v>47</v>
      </c>
      <c r="J38" s="29">
        <v>0.55000000000000004</v>
      </c>
      <c r="K38" s="30">
        <v>1.3</v>
      </c>
      <c r="L38" s="30">
        <v>0.47</v>
      </c>
      <c r="M38" s="30">
        <v>0.39</v>
      </c>
      <c r="N38" s="31">
        <v>0.47</v>
      </c>
      <c r="O38" s="33">
        <f>AVERAGE(J38:N38)</f>
        <v>0.63600000000000012</v>
      </c>
      <c r="P38" s="40"/>
    </row>
    <row r="39" spans="4:16" x14ac:dyDescent="0.25">
      <c r="D39" s="144"/>
      <c r="E39" s="6" t="s">
        <v>1386</v>
      </c>
      <c r="F39" s="69"/>
      <c r="G39" s="6"/>
      <c r="H39" s="69"/>
      <c r="I39" s="14" t="s">
        <v>48</v>
      </c>
      <c r="J39" s="32">
        <v>1.8</v>
      </c>
      <c r="K39" s="33">
        <v>1.07</v>
      </c>
      <c r="L39" s="33">
        <v>1.05</v>
      </c>
      <c r="M39" s="33">
        <v>1.17</v>
      </c>
      <c r="N39" s="34">
        <v>1.23</v>
      </c>
      <c r="O39" s="33">
        <f>AVERAGE(J39:N39)</f>
        <v>1.264</v>
      </c>
      <c r="P39" s="40"/>
    </row>
    <row r="40" spans="4:16" x14ac:dyDescent="0.25">
      <c r="D40" s="144"/>
      <c r="E40" s="6" t="s">
        <v>1387</v>
      </c>
      <c r="F40" s="69">
        <v>20</v>
      </c>
      <c r="G40" s="6"/>
      <c r="H40" s="69"/>
      <c r="I40" s="15" t="s">
        <v>49</v>
      </c>
      <c r="J40" s="32">
        <v>1.17</v>
      </c>
      <c r="K40" s="33">
        <v>1.89</v>
      </c>
      <c r="L40" s="33">
        <v>1.83</v>
      </c>
      <c r="M40" s="33">
        <v>2.2799999999999998</v>
      </c>
      <c r="N40" s="34">
        <v>2.4300000000000002</v>
      </c>
      <c r="O40" s="33">
        <f>AVERAGE(J40:N40)</f>
        <v>1.92</v>
      </c>
      <c r="P40" s="40"/>
    </row>
    <row r="41" spans="4:16" x14ac:dyDescent="0.25">
      <c r="D41" s="144"/>
      <c r="E41" s="6" t="s">
        <v>1388</v>
      </c>
      <c r="F41" s="78">
        <v>170</v>
      </c>
      <c r="G41" s="6"/>
      <c r="H41" s="69"/>
      <c r="I41" s="16" t="s">
        <v>50</v>
      </c>
      <c r="J41" s="32">
        <v>2.34</v>
      </c>
      <c r="K41" s="33">
        <v>2.6</v>
      </c>
      <c r="L41" s="33">
        <v>2.4700000000000002</v>
      </c>
      <c r="M41" s="33">
        <v>2.2400000000000002</v>
      </c>
      <c r="N41" s="34">
        <v>2.1</v>
      </c>
      <c r="O41" s="33">
        <f>AVERAGE(J41:N41)</f>
        <v>2.35</v>
      </c>
      <c r="P41" s="40"/>
    </row>
    <row r="42" spans="4:16" x14ac:dyDescent="0.25">
      <c r="D42" s="144"/>
      <c r="E42" s="6" t="s">
        <v>1389</v>
      </c>
      <c r="F42" s="69"/>
      <c r="G42" s="6"/>
      <c r="H42" s="69"/>
      <c r="I42" s="16" t="s">
        <v>51</v>
      </c>
      <c r="J42" s="35">
        <v>0.42</v>
      </c>
      <c r="K42" s="28">
        <v>0.5</v>
      </c>
      <c r="L42" s="28">
        <v>0.48</v>
      </c>
      <c r="M42" s="28">
        <v>0.41</v>
      </c>
      <c r="N42" s="36">
        <v>0.41</v>
      </c>
      <c r="O42" s="33">
        <f>AVERAGE(J42:N42)</f>
        <v>0.44399999999999995</v>
      </c>
      <c r="P42" s="40"/>
    </row>
    <row r="43" spans="4:16" x14ac:dyDescent="0.25">
      <c r="D43" s="26"/>
      <c r="E43" s="42"/>
      <c r="F43" s="70"/>
      <c r="G43" s="42"/>
      <c r="H43" s="70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71"/>
      <c r="G44" s="26"/>
      <c r="H44" s="71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72"/>
      <c r="G45" s="37"/>
      <c r="H45" s="72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76"/>
      <c r="I46" s="39" t="s">
        <v>1363</v>
      </c>
      <c r="J46" s="2" t="s">
        <v>132</v>
      </c>
      <c r="K46" s="2" t="s">
        <v>133</v>
      </c>
      <c r="L46" s="2" t="s">
        <v>134</v>
      </c>
      <c r="M46" s="2" t="s">
        <v>135</v>
      </c>
      <c r="N46" s="2" t="s">
        <v>136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73"/>
      <c r="G47" s="8" t="s">
        <v>1365</v>
      </c>
      <c r="H47" s="73"/>
      <c r="I47" s="17" t="s">
        <v>53</v>
      </c>
      <c r="J47" s="29">
        <v>3.35</v>
      </c>
      <c r="K47" s="30">
        <v>3.84</v>
      </c>
      <c r="L47" s="30">
        <v>3.84</v>
      </c>
      <c r="M47" s="30">
        <v>3.2</v>
      </c>
      <c r="N47" s="31">
        <v>3.12</v>
      </c>
      <c r="O47" s="33">
        <f>AVERAGE(J47:N47)</f>
        <v>3.47</v>
      </c>
      <c r="P47" s="40"/>
    </row>
    <row r="48" spans="4:16" x14ac:dyDescent="0.25">
      <c r="D48" s="143"/>
      <c r="E48" s="7" t="s">
        <v>1391</v>
      </c>
      <c r="F48" s="74">
        <v>100</v>
      </c>
      <c r="G48" s="7" t="s">
        <v>1390</v>
      </c>
      <c r="H48" s="74"/>
      <c r="I48" s="18" t="s">
        <v>54</v>
      </c>
      <c r="J48" s="32">
        <v>0.4</v>
      </c>
      <c r="K48" s="33">
        <v>0.43</v>
      </c>
      <c r="L48" s="33">
        <v>0.42</v>
      </c>
      <c r="M48" s="33">
        <v>0.38</v>
      </c>
      <c r="N48" s="34">
        <v>0.35</v>
      </c>
      <c r="O48" s="33">
        <f>AVERAGE(J48:N48)</f>
        <v>0.39600000000000002</v>
      </c>
      <c r="P48" s="40"/>
    </row>
    <row r="49" spans="4:16" x14ac:dyDescent="0.25">
      <c r="D49" s="143"/>
      <c r="E49" s="7" t="s">
        <v>1392</v>
      </c>
      <c r="F49" s="74">
        <v>0</v>
      </c>
      <c r="G49" s="7" t="s">
        <v>1396</v>
      </c>
      <c r="H49" s="74"/>
      <c r="I49" s="18" t="s">
        <v>55</v>
      </c>
      <c r="J49" s="32">
        <v>1.35</v>
      </c>
      <c r="K49" s="33">
        <v>1.48</v>
      </c>
      <c r="L49" s="33">
        <v>1.58</v>
      </c>
      <c r="M49" s="33">
        <v>1.22</v>
      </c>
      <c r="N49" s="34">
        <v>1.22</v>
      </c>
      <c r="O49" s="33">
        <f>AVERAGE(J49:N49)</f>
        <v>1.3699999999999999</v>
      </c>
      <c r="P49" s="40"/>
    </row>
    <row r="50" spans="4:16" x14ac:dyDescent="0.25">
      <c r="D50" s="143"/>
      <c r="E50" s="7" t="s">
        <v>1393</v>
      </c>
      <c r="F50" s="74">
        <v>64</v>
      </c>
      <c r="G50" s="7"/>
      <c r="H50" s="74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4">
        <v>64</v>
      </c>
      <c r="G51" s="7"/>
      <c r="H51" s="74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4">
        <v>50</v>
      </c>
      <c r="G52" s="7"/>
      <c r="H52" s="74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66"/>
      <c r="G53" s="40"/>
      <c r="H53" s="66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130.80000016</v>
      </c>
      <c r="K54" s="2">
        <f>SUM(K4:K50)</f>
        <v>138.36000016499997</v>
      </c>
      <c r="L54" s="2">
        <f>SUM(L4:L50)</f>
        <v>144.38000015800003</v>
      </c>
      <c r="M54" s="2">
        <f>SUM(M4:M50)</f>
        <v>121.85000019899998</v>
      </c>
      <c r="N54" s="2">
        <f>SUM(N4:N50)</f>
        <v>117.17000023899999</v>
      </c>
      <c r="O54" s="38">
        <f>AVERAGE(J54:N54)</f>
        <v>130.51200018419999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0.14755351663907829</v>
      </c>
      <c r="K56" s="104">
        <f>SUM(K4:K18)/K54</f>
        <v>0.13298641209928624</v>
      </c>
      <c r="L56" s="104">
        <f>SUM(L4:L18)/L54</f>
        <v>0.13069677226312446</v>
      </c>
      <c r="M56" s="104">
        <f>SUM(M4:M18)/M54</f>
        <v>0.15354944578944327</v>
      </c>
      <c r="N56" s="104">
        <f>SUM(N4:N18)/N54</f>
        <v>0.16275497107708087</v>
      </c>
      <c r="O56" s="38">
        <f>AVERAGE(J56:N56)</f>
        <v>0.14550822357360263</v>
      </c>
    </row>
    <row r="57" spans="4:16" x14ac:dyDescent="0.25">
      <c r="I57" s="107" t="s">
        <v>45</v>
      </c>
      <c r="J57" s="105">
        <f>J25/J54</f>
        <v>0.76544342414013045</v>
      </c>
      <c r="K57" s="105">
        <f t="shared" ref="K57:N57" si="0">K25/K54</f>
        <v>0.77226076808743127</v>
      </c>
      <c r="L57" s="105">
        <f t="shared" si="0"/>
        <v>0.78521955863648218</v>
      </c>
      <c r="M57" s="105">
        <f t="shared" si="0"/>
        <v>0.75379564915875807</v>
      </c>
      <c r="N57" s="105">
        <f t="shared" si="0"/>
        <v>0.74054792031244387</v>
      </c>
      <c r="O57" s="38">
        <f>AVERAGE(J57:N57)</f>
        <v>0.76345346406704917</v>
      </c>
    </row>
    <row r="58" spans="4:16" x14ac:dyDescent="0.25">
      <c r="I58" s="108" t="s">
        <v>46</v>
      </c>
      <c r="J58" s="102">
        <f>SUM(J38:J42)/J54</f>
        <v>4.8012232357171579E-2</v>
      </c>
      <c r="K58" s="102">
        <f>SUM(K38:K42)/K54</f>
        <v>5.3194564839714499E-2</v>
      </c>
      <c r="L58" s="102">
        <f>SUM(L38:L42)/L54</f>
        <v>4.3634852424890513E-2</v>
      </c>
      <c r="M58" s="102">
        <f>SUM(M38:M42)/M54</f>
        <v>5.3262207545349383E-2</v>
      </c>
      <c r="N58" s="102">
        <f>SUM(N38:N42)/N54</f>
        <v>5.6669795907279337E-2</v>
      </c>
      <c r="O58" s="38">
        <f>AVERAGE(J58:N58)</f>
        <v>5.0954730614881059E-2</v>
      </c>
    </row>
    <row r="59" spans="4:16" x14ac:dyDescent="0.25">
      <c r="I59" s="109" t="s">
        <v>1448</v>
      </c>
      <c r="J59" s="103">
        <f>SUM(J47:J49)/J54</f>
        <v>3.8990825640378195E-2</v>
      </c>
      <c r="K59" s="103">
        <f>SUM(K47:K49)/K54</f>
        <v>4.1558253781026955E-2</v>
      </c>
      <c r="L59" s="103">
        <f>SUM(L47:L49)/L54</f>
        <v>4.0448815581168349E-2</v>
      </c>
      <c r="M59" s="103">
        <f>SUM(M47:M49)/M54</f>
        <v>3.9392695873293838E-2</v>
      </c>
      <c r="N59" s="103">
        <f>SUM(N47:N49)/N54</f>
        <v>4.0027310663424714E-2</v>
      </c>
      <c r="O59" s="38">
        <f>AVERAGE(J59:N59)</f>
        <v>4.0083580307858413E-2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19.631372549019609</v>
      </c>
      <c r="K61" s="27">
        <f t="shared" ref="K61:N61" si="1">K57/K59</f>
        <v>18.582608695652173</v>
      </c>
      <c r="L61" s="27">
        <f t="shared" si="1"/>
        <v>19.412671232876715</v>
      </c>
      <c r="M61" s="27">
        <f t="shared" si="1"/>
        <v>19.135416666666664</v>
      </c>
      <c r="N61" s="27">
        <f t="shared" si="1"/>
        <v>18.501066098081019</v>
      </c>
      <c r="O61" s="38">
        <f>AVERAGE(J61:N61)</f>
        <v>19.052627048459236</v>
      </c>
    </row>
    <row r="62" spans="4:16" x14ac:dyDescent="0.25">
      <c r="I62" s="75"/>
    </row>
    <row r="63" spans="4:16" x14ac:dyDescent="0.25">
      <c r="I63" s="75"/>
    </row>
    <row r="64" spans="4:16" x14ac:dyDescent="0.25">
      <c r="D64" s="2"/>
      <c r="E64" s="39" t="s">
        <v>1451</v>
      </c>
      <c r="F64" s="60"/>
      <c r="G64" s="60"/>
      <c r="I64" s="75"/>
    </row>
    <row r="65" spans="4:8" x14ac:dyDescent="0.25">
      <c r="D65" s="2"/>
      <c r="E65" s="2" t="s">
        <v>1453</v>
      </c>
      <c r="F65" s="60">
        <v>1</v>
      </c>
      <c r="G65" s="54" t="s">
        <v>1452</v>
      </c>
      <c r="H65" s="66"/>
    </row>
    <row r="66" spans="4:8" x14ac:dyDescent="0.25">
      <c r="E66" s="40"/>
      <c r="F66" s="40"/>
      <c r="G66" s="40"/>
      <c r="H66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75'!A1" display="Next"/>
    <hyperlink ref="B4" location="'c65'!A1" display="Prev"/>
    <hyperlink ref="B10:B11" location="'Index of Integers'!A50" display="Index of Integers"/>
    <hyperlink ref="B13:B14" location="'Index of Parameters'!H2" display="Index of Parameters"/>
    <hyperlink ref="B16:B17" location="'Index of Results'!H2" display="Index of Results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7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7.140625" style="24" bestFit="1" customWidth="1"/>
    <col min="7" max="7" width="23.28515625" style="24" bestFit="1" customWidth="1"/>
    <col min="8" max="8" width="8.28515625" style="24" bestFit="1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4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162</v>
      </c>
      <c r="K3" s="2" t="s">
        <v>163</v>
      </c>
      <c r="L3" s="2" t="s">
        <v>164</v>
      </c>
      <c r="M3" s="2" t="s">
        <v>165</v>
      </c>
      <c r="N3" s="2" t="s">
        <v>166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7.99</v>
      </c>
      <c r="K4" s="30">
        <v>8</v>
      </c>
      <c r="L4" s="30">
        <v>8.31</v>
      </c>
      <c r="M4" s="30">
        <v>7.74</v>
      </c>
      <c r="N4" s="31">
        <v>8.02</v>
      </c>
      <c r="O4" s="33">
        <f>AVERAGE(J4:N4)</f>
        <v>8.0120000000000005</v>
      </c>
      <c r="P4" s="40"/>
      <c r="R4">
        <f>O4+O13</f>
        <v>27.672000000000004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21">
        <v>84000</v>
      </c>
      <c r="G7" s="21" t="s">
        <v>1370</v>
      </c>
      <c r="H7" s="21">
        <v>42000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3600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64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30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19.600000000000001</v>
      </c>
      <c r="K13" s="33">
        <v>20.13</v>
      </c>
      <c r="L13" s="33">
        <v>20.67</v>
      </c>
      <c r="M13" s="33">
        <v>19.149999999999999</v>
      </c>
      <c r="N13" s="34">
        <v>18.75</v>
      </c>
      <c r="O13" s="33">
        <f>AVERAGE(J13:N13)</f>
        <v>19.660000000000004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0.23</v>
      </c>
      <c r="K15" s="33">
        <v>0.23</v>
      </c>
      <c r="L15" s="33">
        <v>0.24</v>
      </c>
      <c r="M15" s="33">
        <v>0.25</v>
      </c>
      <c r="N15" s="34">
        <v>0.23</v>
      </c>
      <c r="O15" s="33">
        <f>AVERAGE(J15:N15)</f>
        <v>0.23599999999999999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1.54</v>
      </c>
      <c r="K17" s="33">
        <v>1.53</v>
      </c>
      <c r="L17" s="33">
        <v>1.52</v>
      </c>
      <c r="M17" s="33">
        <v>1.52</v>
      </c>
      <c r="N17" s="34">
        <v>1.5</v>
      </c>
      <c r="O17" s="33">
        <f>AVERAGE(J17:N17)</f>
        <v>1.5219999999999998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6.06E-8</v>
      </c>
      <c r="K21" s="110">
        <v>5.6799999999999999E-8</v>
      </c>
      <c r="L21" s="110">
        <v>5.5600000000000002E-8</v>
      </c>
      <c r="M21" s="110">
        <v>6.2200000000000001E-8</v>
      </c>
      <c r="N21" s="110">
        <v>6.0399999999999998E-8</v>
      </c>
      <c r="O21" s="38">
        <f>AVERAGE(J21:N21)</f>
        <v>5.9119999999999996E-8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162</v>
      </c>
      <c r="K24" s="2" t="s">
        <v>163</v>
      </c>
      <c r="L24" s="2" t="s">
        <v>164</v>
      </c>
      <c r="M24" s="2" t="s">
        <v>165</v>
      </c>
      <c r="N24" s="2" t="s">
        <v>166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214.69</v>
      </c>
      <c r="K25" s="30">
        <v>223.8</v>
      </c>
      <c r="L25" s="30">
        <v>203.38</v>
      </c>
      <c r="M25" s="30">
        <v>223.29</v>
      </c>
      <c r="N25" s="31">
        <v>206.49</v>
      </c>
      <c r="O25" s="33">
        <f>AVERAGE(J25:N25)</f>
        <v>214.33</v>
      </c>
      <c r="P25" s="40"/>
    </row>
    <row r="26" spans="2:16" x14ac:dyDescent="0.25">
      <c r="D26" s="142"/>
      <c r="E26" s="5" t="s">
        <v>1376</v>
      </c>
      <c r="F26" s="5">
        <v>41</v>
      </c>
      <c r="G26" s="5" t="s">
        <v>1384</v>
      </c>
      <c r="H26" s="5">
        <v>100846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42</v>
      </c>
      <c r="G27" s="5" t="s">
        <v>1383</v>
      </c>
      <c r="H27" s="5">
        <v>1000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25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19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11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162</v>
      </c>
      <c r="K37" s="2" t="s">
        <v>163</v>
      </c>
      <c r="L37" s="2" t="s">
        <v>164</v>
      </c>
      <c r="M37" s="2" t="s">
        <v>165</v>
      </c>
      <c r="N37" s="2" t="s">
        <v>166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0.63</v>
      </c>
      <c r="K38" s="30">
        <v>0.54</v>
      </c>
      <c r="L38" s="30">
        <v>0.62</v>
      </c>
      <c r="M38" s="30">
        <v>0.63</v>
      </c>
      <c r="N38" s="31">
        <v>0.56999999999999995</v>
      </c>
      <c r="O38" s="33">
        <f>AVERAGE(J38:N38)</f>
        <v>0.59799999999999998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>
        <v>1.49</v>
      </c>
      <c r="K39" s="33">
        <v>1.65</v>
      </c>
      <c r="L39" s="33">
        <v>2.23</v>
      </c>
      <c r="M39" s="33">
        <v>2.4</v>
      </c>
      <c r="N39" s="34">
        <v>1.74</v>
      </c>
      <c r="O39" s="33">
        <f>AVERAGE(J39:N39)</f>
        <v>1.9019999999999999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1.41</v>
      </c>
      <c r="K40" s="33">
        <v>1.7</v>
      </c>
      <c r="L40" s="33">
        <v>1.62</v>
      </c>
      <c r="M40" s="33">
        <v>1.59</v>
      </c>
      <c r="N40" s="34">
        <v>1.71</v>
      </c>
      <c r="O40" s="33">
        <f>AVERAGE(J40:N40)</f>
        <v>1.6060000000000003</v>
      </c>
      <c r="P40" s="40"/>
    </row>
    <row r="41" spans="4:16" x14ac:dyDescent="0.25">
      <c r="D41" s="144"/>
      <c r="E41" s="6" t="s">
        <v>1388</v>
      </c>
      <c r="F41" s="6">
        <v>170</v>
      </c>
      <c r="G41" s="6"/>
      <c r="H41" s="6"/>
      <c r="I41" s="16" t="s">
        <v>50</v>
      </c>
      <c r="J41" s="32">
        <v>6.29</v>
      </c>
      <c r="K41" s="33">
        <v>6.11</v>
      </c>
      <c r="L41" s="33">
        <v>6.23</v>
      </c>
      <c r="M41" s="33">
        <v>6.49</v>
      </c>
      <c r="N41" s="34">
        <v>6.37</v>
      </c>
      <c r="O41" s="33">
        <f>AVERAGE(J41:N41)</f>
        <v>6.2980000000000009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>
        <v>1.06</v>
      </c>
      <c r="K42" s="28">
        <v>1.02</v>
      </c>
      <c r="L42" s="28">
        <v>0.98</v>
      </c>
      <c r="M42" s="28">
        <v>1.08</v>
      </c>
      <c r="N42" s="36">
        <v>1.06</v>
      </c>
      <c r="O42" s="33">
        <f>AVERAGE(J42:N42)</f>
        <v>1.0400000000000003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162</v>
      </c>
      <c r="K46" s="2" t="s">
        <v>163</v>
      </c>
      <c r="L46" s="2" t="s">
        <v>164</v>
      </c>
      <c r="M46" s="2" t="s">
        <v>165</v>
      </c>
      <c r="N46" s="2" t="s">
        <v>166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12.5</v>
      </c>
      <c r="K47" s="30">
        <v>12.38</v>
      </c>
      <c r="L47" s="30">
        <v>10.56</v>
      </c>
      <c r="M47" s="30">
        <v>12.61</v>
      </c>
      <c r="N47" s="31">
        <v>12.49</v>
      </c>
      <c r="O47" s="33">
        <f>AVERAGE(J47:N47)</f>
        <v>12.108000000000001</v>
      </c>
      <c r="P47" s="40"/>
    </row>
    <row r="48" spans="4:16" x14ac:dyDescent="0.25">
      <c r="D48" s="143"/>
      <c r="E48" s="7" t="s">
        <v>1391</v>
      </c>
      <c r="F48" s="7">
        <v>100</v>
      </c>
      <c r="G48" s="7" t="s">
        <v>1390</v>
      </c>
      <c r="H48" s="7"/>
      <c r="I48" s="18" t="s">
        <v>54</v>
      </c>
      <c r="J48" s="32">
        <v>0.94</v>
      </c>
      <c r="K48" s="33">
        <v>0.9</v>
      </c>
      <c r="L48" s="33">
        <v>0.87</v>
      </c>
      <c r="M48" s="33">
        <v>0.93</v>
      </c>
      <c r="N48" s="34">
        <v>0.91</v>
      </c>
      <c r="O48" s="33">
        <f>AVERAGE(J48:N48)</f>
        <v>0.90999999999999992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>
        <v>8.92</v>
      </c>
      <c r="K49" s="33">
        <v>6.52</v>
      </c>
      <c r="L49" s="33">
        <v>3.57</v>
      </c>
      <c r="M49" s="33">
        <v>3.86</v>
      </c>
      <c r="N49" s="34">
        <v>3.29</v>
      </c>
      <c r="O49" s="33">
        <f>AVERAGE(J49:N49)</f>
        <v>5.2319999999999993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277.29000006060005</v>
      </c>
      <c r="K54" s="2">
        <f>SUM(K4:K50)</f>
        <v>284.51000005679998</v>
      </c>
      <c r="L54" s="2">
        <f>SUM(L4:L50)</f>
        <v>260.80000005559998</v>
      </c>
      <c r="M54" s="2">
        <f>SUM(M4:M50)</f>
        <v>281.54000006220002</v>
      </c>
      <c r="N54" s="2">
        <f>SUM(N4:N50)</f>
        <v>263.13000006040005</v>
      </c>
      <c r="O54" s="38">
        <f>AVERAGE(J54:N54)</f>
        <v>273.45400005912001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0.10588192864359895</v>
      </c>
      <c r="K56" s="104">
        <f>SUM(K4:K18)/K54</f>
        <v>0.10505781868487124</v>
      </c>
      <c r="L56" s="104">
        <f>SUM(L4:L18)/L54</f>
        <v>0.1178680981343809</v>
      </c>
      <c r="M56" s="104">
        <f>SUM(M4:M18)/M54</f>
        <v>0.10179725791599137</v>
      </c>
      <c r="N56" s="104">
        <f>SUM(N4:N18)/N54</f>
        <v>0.10831148099212549</v>
      </c>
      <c r="O56" s="38">
        <f>AVERAGE(J56:N56)</f>
        <v>0.1077833168741936</v>
      </c>
    </row>
    <row r="57" spans="4:16" x14ac:dyDescent="0.25">
      <c r="I57" s="107" t="s">
        <v>45</v>
      </c>
      <c r="J57" s="105">
        <f>J25/J54</f>
        <v>0.77424357154271994</v>
      </c>
      <c r="K57" s="105">
        <f t="shared" ref="K57:N57" si="0">K25/K54</f>
        <v>0.78661558453242508</v>
      </c>
      <c r="L57" s="105">
        <f t="shared" si="0"/>
        <v>0.77983128817730596</v>
      </c>
      <c r="M57" s="105">
        <f t="shared" si="0"/>
        <v>0.79310222330989921</v>
      </c>
      <c r="N57" s="105">
        <f t="shared" si="0"/>
        <v>0.78474518280926298</v>
      </c>
      <c r="O57" s="38">
        <f>AVERAGE(J57:N57)</f>
        <v>0.78370757007432268</v>
      </c>
    </row>
    <row r="58" spans="4:16" x14ac:dyDescent="0.25">
      <c r="I58" s="108" t="s">
        <v>46</v>
      </c>
      <c r="J58" s="102">
        <f>SUM(J38:J42)/J54</f>
        <v>3.9236899987818687E-2</v>
      </c>
      <c r="K58" s="102">
        <f>SUM(K38:K42)/K54</f>
        <v>3.8733260686091703E-2</v>
      </c>
      <c r="L58" s="102">
        <f>SUM(L38:L42)/L54</f>
        <v>4.4785276064071858E-2</v>
      </c>
      <c r="M58" s="102">
        <f>SUM(M38:M42)/M54</f>
        <v>4.3297577599299884E-2</v>
      </c>
      <c r="N58" s="102">
        <f>SUM(N38:N42)/N54</f>
        <v>4.3514612538941649E-2</v>
      </c>
      <c r="O58" s="38">
        <f>AVERAGE(J58:N58)</f>
        <v>4.1913525375244752E-2</v>
      </c>
    </row>
    <row r="59" spans="4:16" x14ac:dyDescent="0.25">
      <c r="I59" s="109" t="s">
        <v>1448</v>
      </c>
      <c r="J59" s="103">
        <f>SUM(J47:J49)/J54</f>
        <v>8.0637599607318533E-2</v>
      </c>
      <c r="K59" s="103">
        <f>SUM(K47:K49)/K54</f>
        <v>6.9593335896970587E-2</v>
      </c>
      <c r="L59" s="103">
        <f>SUM(L47:L49)/L54</f>
        <v>5.7515337411051179E-2</v>
      </c>
      <c r="M59" s="103">
        <f>SUM(M47:M49)/M54</f>
        <v>6.1802940953881703E-2</v>
      </c>
      <c r="N59" s="103">
        <f>SUM(N47:N49)/N54</f>
        <v>6.3428723430125428E-2</v>
      </c>
      <c r="O59" s="38">
        <f>AVERAGE(J59:N59)</f>
        <v>6.6595587459869487E-2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9.6015205724508057</v>
      </c>
      <c r="K61" s="27">
        <f t="shared" ref="K61:N61" si="1">K57/K59</f>
        <v>11.303030303030303</v>
      </c>
      <c r="L61" s="27">
        <f t="shared" si="1"/>
        <v>13.558666666666667</v>
      </c>
      <c r="M61" s="27">
        <f t="shared" si="1"/>
        <v>12.832758620689656</v>
      </c>
      <c r="N61" s="27">
        <f t="shared" si="1"/>
        <v>12.372079089275015</v>
      </c>
      <c r="O61" s="38">
        <f>AVERAGE(J61:N61)</f>
        <v>11.93361105042249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E67" s="40"/>
      <c r="F67" s="40"/>
      <c r="G67" s="40"/>
      <c r="H67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80'!A1" display="Next"/>
    <hyperlink ref="B4" location="'c70'!A1" display="Prev"/>
    <hyperlink ref="B10:B11" location="'Index of Integers'!A61" display="Index of Integers"/>
    <hyperlink ref="B13:B14" location="'Index of Parameters'!I2" display="Index of Parameters"/>
    <hyperlink ref="B16:B17" location="'Index of Results'!I2" display="Index of Results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7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5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191</v>
      </c>
      <c r="K3" s="2" t="s">
        <v>192</v>
      </c>
      <c r="L3" s="2" t="s">
        <v>193</v>
      </c>
      <c r="M3" s="2" t="s">
        <v>194</v>
      </c>
      <c r="N3" s="2" t="s">
        <v>195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6.09</v>
      </c>
      <c r="K4" s="30">
        <v>6.05</v>
      </c>
      <c r="L4" s="30">
        <v>6.05</v>
      </c>
      <c r="M4" s="30">
        <v>6.3</v>
      </c>
      <c r="N4" s="31">
        <v>6.12</v>
      </c>
      <c r="O4" s="33">
        <f>AVERAGE(J4:N4)</f>
        <v>6.1220000000000008</v>
      </c>
      <c r="P4" s="40"/>
      <c r="R4">
        <f>O4+O13</f>
        <v>28.464000000000002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21">
        <v>50000</v>
      </c>
      <c r="G7" s="21" t="s">
        <v>1370</v>
      </c>
      <c r="H7" s="21">
        <v>5000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64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20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>
        <v>0.1</v>
      </c>
      <c r="G13" s="20"/>
      <c r="H13" s="20"/>
      <c r="I13" s="10" t="s">
        <v>42</v>
      </c>
      <c r="J13" s="32">
        <v>21.36</v>
      </c>
      <c r="K13" s="33">
        <v>21.64</v>
      </c>
      <c r="L13" s="33">
        <v>23.61</v>
      </c>
      <c r="M13" s="33">
        <v>22.54</v>
      </c>
      <c r="N13" s="34">
        <v>22.56</v>
      </c>
      <c r="O13" s="33">
        <f>AVERAGE(J13:N13)</f>
        <v>22.342000000000002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0.28000000000000003</v>
      </c>
      <c r="K15" s="33">
        <v>0.28000000000000003</v>
      </c>
      <c r="L15" s="33">
        <v>0.28000000000000003</v>
      </c>
      <c r="M15" s="33">
        <v>0.27</v>
      </c>
      <c r="N15" s="34">
        <v>0.28000000000000003</v>
      </c>
      <c r="O15" s="33">
        <f>AVERAGE(J15:N15)</f>
        <v>0.27800000000000002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1.52</v>
      </c>
      <c r="K17" s="33">
        <v>1.52</v>
      </c>
      <c r="L17" s="33">
        <v>1.5</v>
      </c>
      <c r="M17" s="33">
        <v>1.52</v>
      </c>
      <c r="N17" s="34">
        <v>1.52</v>
      </c>
      <c r="O17" s="33">
        <f>AVERAGE(J17:N17)</f>
        <v>1.516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3.4900000000000001E-8</v>
      </c>
      <c r="K21" s="110">
        <v>3.3500000000000002E-8</v>
      </c>
      <c r="L21" s="110">
        <v>3.7E-8</v>
      </c>
      <c r="M21" s="110">
        <v>3.2800000000000003E-8</v>
      </c>
      <c r="N21" s="110">
        <v>3.7499999999999998E-8</v>
      </c>
      <c r="O21" s="38">
        <f>AVERAGE(J21:N21)</f>
        <v>3.5140000000000002E-8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191</v>
      </c>
      <c r="K24" s="2" t="s">
        <v>192</v>
      </c>
      <c r="L24" s="2" t="s">
        <v>193</v>
      </c>
      <c r="M24" s="2" t="s">
        <v>194</v>
      </c>
      <c r="N24" s="2" t="s">
        <v>195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484.59</v>
      </c>
      <c r="K25" s="30">
        <v>449.46</v>
      </c>
      <c r="L25" s="30">
        <v>429.96</v>
      </c>
      <c r="M25" s="30">
        <v>515.77</v>
      </c>
      <c r="N25" s="31">
        <v>415.55</v>
      </c>
      <c r="O25" s="33">
        <f>AVERAGE(J25:N25)</f>
        <v>459.06599999999997</v>
      </c>
      <c r="P25" s="40"/>
    </row>
    <row r="26" spans="2:16" x14ac:dyDescent="0.25">
      <c r="D26" s="142"/>
      <c r="E26" s="5" t="s">
        <v>1376</v>
      </c>
      <c r="F26" s="5">
        <v>41</v>
      </c>
      <c r="G26" s="5" t="s">
        <v>1384</v>
      </c>
      <c r="H26" s="5">
        <v>66606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42</v>
      </c>
      <c r="G27" s="5" t="s">
        <v>1383</v>
      </c>
      <c r="H27" s="5">
        <v>5000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8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8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11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191</v>
      </c>
      <c r="K37" s="2" t="s">
        <v>192</v>
      </c>
      <c r="L37" s="2" t="s">
        <v>193</v>
      </c>
      <c r="M37" s="2" t="s">
        <v>194</v>
      </c>
      <c r="N37" s="2" t="s">
        <v>195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0.72</v>
      </c>
      <c r="K38" s="30">
        <v>0.63</v>
      </c>
      <c r="L38" s="30">
        <v>0.71</v>
      </c>
      <c r="M38" s="30">
        <v>0.93</v>
      </c>
      <c r="N38" s="31">
        <v>0.64</v>
      </c>
      <c r="O38" s="33">
        <f>AVERAGE(J38:N38)</f>
        <v>0.72600000000000009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>
        <v>2.86</v>
      </c>
      <c r="K39" s="33">
        <v>2.56</v>
      </c>
      <c r="L39" s="33">
        <v>2.82</v>
      </c>
      <c r="M39" s="33">
        <v>2.59</v>
      </c>
      <c r="N39" s="34">
        <v>2.73</v>
      </c>
      <c r="O39" s="33">
        <f>AVERAGE(J39:N39)</f>
        <v>2.7120000000000002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2.41</v>
      </c>
      <c r="K40" s="33">
        <v>2</v>
      </c>
      <c r="L40" s="33">
        <v>2.13</v>
      </c>
      <c r="M40" s="33">
        <v>2.86</v>
      </c>
      <c r="N40" s="34">
        <v>2.4</v>
      </c>
      <c r="O40" s="33">
        <f>AVERAGE(J40:N40)</f>
        <v>2.3600000000000003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>
        <v>8.01</v>
      </c>
      <c r="K41" s="33">
        <v>8.4700000000000006</v>
      </c>
      <c r="L41" s="33">
        <v>8.42</v>
      </c>
      <c r="M41" s="33">
        <v>7.55</v>
      </c>
      <c r="N41" s="34">
        <v>8.1199999999999992</v>
      </c>
      <c r="O41" s="33">
        <f>AVERAGE(J41:N41)</f>
        <v>8.113999999999999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>
        <v>1.32</v>
      </c>
      <c r="K42" s="28">
        <v>1.35</v>
      </c>
      <c r="L42" s="28">
        <v>1.39</v>
      </c>
      <c r="M42" s="28">
        <v>1.25</v>
      </c>
      <c r="N42" s="36">
        <v>1.38</v>
      </c>
      <c r="O42" s="33">
        <f>AVERAGE(J42:N42)</f>
        <v>1.3379999999999999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191</v>
      </c>
      <c r="K46" s="2" t="s">
        <v>192</v>
      </c>
      <c r="L46" s="2" t="s">
        <v>193</v>
      </c>
      <c r="M46" s="2" t="s">
        <v>194</v>
      </c>
      <c r="N46" s="2" t="s">
        <v>195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19.73</v>
      </c>
      <c r="K47" s="30">
        <v>20.100000000000001</v>
      </c>
      <c r="L47" s="30">
        <v>19.91</v>
      </c>
      <c r="M47" s="30">
        <v>17.52</v>
      </c>
      <c r="N47" s="31">
        <v>19.59</v>
      </c>
      <c r="O47" s="33">
        <f>AVERAGE(J47:N47)</f>
        <v>19.369999999999997</v>
      </c>
      <c r="P47" s="40"/>
    </row>
    <row r="48" spans="4:16" x14ac:dyDescent="0.25">
      <c r="D48" s="143"/>
      <c r="E48" s="7" t="s">
        <v>1391</v>
      </c>
      <c r="F48" s="7">
        <v>100</v>
      </c>
      <c r="G48" s="7" t="s">
        <v>1390</v>
      </c>
      <c r="H48" s="7"/>
      <c r="I48" s="18" t="s">
        <v>54</v>
      </c>
      <c r="J48" s="32">
        <v>1.1200000000000001</v>
      </c>
      <c r="K48" s="33">
        <v>1.1599999999999999</v>
      </c>
      <c r="L48" s="33">
        <v>1.1399999999999999</v>
      </c>
      <c r="M48" s="33">
        <v>1.04</v>
      </c>
      <c r="N48" s="34">
        <v>1.1299999999999999</v>
      </c>
      <c r="O48" s="33">
        <f>AVERAGE(J48:N48)</f>
        <v>1.1179999999999999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>
        <v>4.7</v>
      </c>
      <c r="K49" s="33">
        <v>4.6399999999999997</v>
      </c>
      <c r="L49" s="33">
        <v>8.85</v>
      </c>
      <c r="M49" s="33">
        <v>3.96</v>
      </c>
      <c r="N49" s="34">
        <v>5.04</v>
      </c>
      <c r="O49" s="33">
        <f>AVERAGE(J49:N49)</f>
        <v>5.4379999999999997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554.71000003490008</v>
      </c>
      <c r="K54" s="2">
        <f>SUM(K4:K50)</f>
        <v>519.8600000335</v>
      </c>
      <c r="L54" s="2">
        <f>SUM(L4:L50)</f>
        <v>506.77000003699999</v>
      </c>
      <c r="M54" s="2">
        <f>SUM(M4:M50)</f>
        <v>584.10000003279993</v>
      </c>
      <c r="N54" s="2">
        <f>SUM(N4:N50)</f>
        <v>487.0600000375</v>
      </c>
      <c r="O54" s="38">
        <f>AVERAGE(J54:N54)</f>
        <v>530.50000003513992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5.2730255445475493E-2</v>
      </c>
      <c r="K56" s="104">
        <f>SUM(K4:K18)/K54</f>
        <v>5.6726811060861873E-2</v>
      </c>
      <c r="L56" s="104">
        <f>SUM(L4:L18)/L54</f>
        <v>6.2039978684027317E-2</v>
      </c>
      <c r="M56" s="104">
        <f>SUM(M4:M18)/M54</f>
        <v>5.2439650741790758E-2</v>
      </c>
      <c r="N56" s="104">
        <f>SUM(N4:N18)/N54</f>
        <v>6.2579558981754338E-2</v>
      </c>
      <c r="O56" s="38">
        <f>AVERAGE(J56:N56)</f>
        <v>5.7303250982781953E-2</v>
      </c>
    </row>
    <row r="57" spans="4:16" x14ac:dyDescent="0.25">
      <c r="I57" s="107" t="s">
        <v>45</v>
      </c>
      <c r="J57" s="105">
        <f>J25/J54</f>
        <v>0.87359160637001598</v>
      </c>
      <c r="K57" s="105">
        <f t="shared" ref="K57:N57" si="0">K25/K54</f>
        <v>0.86457892503950406</v>
      </c>
      <c r="L57" s="105">
        <f t="shared" si="0"/>
        <v>0.84843222757583914</v>
      </c>
      <c r="M57" s="105">
        <f t="shared" si="0"/>
        <v>0.88301660669583482</v>
      </c>
      <c r="N57" s="105">
        <f t="shared" si="0"/>
        <v>0.85318030626207397</v>
      </c>
      <c r="O57" s="38">
        <f>AVERAGE(J57:N57)</f>
        <v>0.86455993438865364</v>
      </c>
    </row>
    <row r="58" spans="4:16" x14ac:dyDescent="0.25">
      <c r="I58" s="108" t="s">
        <v>46</v>
      </c>
      <c r="J58" s="102">
        <f>SUM(J38:J42)/J54</f>
        <v>2.7618034646997764E-2</v>
      </c>
      <c r="K58" s="102">
        <f>SUM(K38:K42)/K54</f>
        <v>2.8873158156105007E-2</v>
      </c>
      <c r="L58" s="102">
        <f>SUM(L38:L42)/L54</f>
        <v>3.0526668900823874E-2</v>
      </c>
      <c r="M58" s="102">
        <f>SUM(M38:M42)/M54</f>
        <v>2.5988700563512365E-2</v>
      </c>
      <c r="N58" s="102">
        <f>SUM(N38:N42)/N54</f>
        <v>3.1351373544993066E-2</v>
      </c>
      <c r="O58" s="38">
        <f>AVERAGE(J58:N58)</f>
        <v>2.887158716248641E-2</v>
      </c>
    </row>
    <row r="59" spans="4:16" x14ac:dyDescent="0.25">
      <c r="I59" s="109" t="s">
        <v>1448</v>
      </c>
      <c r="J59" s="103">
        <f>SUM(J47:J49)/J54</f>
        <v>4.6060103474594834E-2</v>
      </c>
      <c r="K59" s="103">
        <f>SUM(K47:K49)/K54</f>
        <v>4.9821105679088588E-2</v>
      </c>
      <c r="L59" s="103">
        <f>SUM(L47:L49)/L54</f>
        <v>5.9001124766298235E-2</v>
      </c>
      <c r="M59" s="103">
        <f>SUM(M47:M49)/M54</f>
        <v>3.855504194270741E-2</v>
      </c>
      <c r="N59" s="103">
        <f>SUM(N47:N49)/N54</f>
        <v>5.2888761134186071E-2</v>
      </c>
      <c r="O59" s="38">
        <f>AVERAGE(J59:N59)</f>
        <v>4.9265227399375021E-2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18.966340508806262</v>
      </c>
      <c r="K61" s="27">
        <f t="shared" ref="K61:N61" si="1">K57/K59</f>
        <v>17.353667953667951</v>
      </c>
      <c r="L61" s="27">
        <f t="shared" si="1"/>
        <v>14.379933110367894</v>
      </c>
      <c r="M61" s="27">
        <f t="shared" si="1"/>
        <v>22.902753108348133</v>
      </c>
      <c r="N61" s="27">
        <f t="shared" si="1"/>
        <v>16.13159937888199</v>
      </c>
      <c r="O61" s="38">
        <f>AVERAGE(J61:N61)</f>
        <v>17.946858812014447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E67" s="40"/>
      <c r="F67" s="40"/>
      <c r="G67" s="40"/>
      <c r="H67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85'!A1" display="Next"/>
    <hyperlink ref="B4" location="'c75'!A1" display="Prev"/>
    <hyperlink ref="B10:B11" location="'Index of Integers'!A72" display="Index of Integers"/>
    <hyperlink ref="B13:B14" location="'Index of Parameters'!J2" display="Index of Parameters"/>
    <hyperlink ref="B16:B17" location="'Index of Results'!J2" display="Index of Results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7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6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201</v>
      </c>
      <c r="K3" s="2" t="s">
        <v>202</v>
      </c>
      <c r="L3" s="2" t="s">
        <v>203</v>
      </c>
      <c r="M3" s="2" t="s">
        <v>204</v>
      </c>
      <c r="N3" s="2" t="s">
        <v>205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21.87</v>
      </c>
      <c r="K4" s="30">
        <v>21.71</v>
      </c>
      <c r="L4" s="30">
        <v>21.33</v>
      </c>
      <c r="M4" s="30">
        <v>21.8</v>
      </c>
      <c r="N4" s="31">
        <v>21.72</v>
      </c>
      <c r="O4" s="33">
        <f>AVERAGE(J4:N4)</f>
        <v>21.686</v>
      </c>
      <c r="P4" s="40"/>
      <c r="R4">
        <f>O4+O13</f>
        <v>56.008000000000003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21">
        <v>50000</v>
      </c>
      <c r="G7" s="21" t="s">
        <v>1370</v>
      </c>
      <c r="H7" s="21">
        <v>5000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256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30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>
        <v>0.1</v>
      </c>
      <c r="G13" s="20"/>
      <c r="H13" s="20"/>
      <c r="I13" s="10" t="s">
        <v>42</v>
      </c>
      <c r="J13" s="32">
        <v>33.01</v>
      </c>
      <c r="K13" s="33">
        <v>34.81</v>
      </c>
      <c r="L13" s="33">
        <v>34.21</v>
      </c>
      <c r="M13" s="33">
        <v>35.58</v>
      </c>
      <c r="N13" s="34">
        <v>34</v>
      </c>
      <c r="O13" s="33">
        <f>AVERAGE(J13:N13)</f>
        <v>34.322000000000003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0.45</v>
      </c>
      <c r="K15" s="33">
        <v>0.44</v>
      </c>
      <c r="L15" s="33">
        <v>0.44</v>
      </c>
      <c r="M15" s="33">
        <v>0.45</v>
      </c>
      <c r="N15" s="34">
        <v>0.44</v>
      </c>
      <c r="O15" s="33">
        <f>AVERAGE(J15:N15)</f>
        <v>0.44400000000000006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3.02</v>
      </c>
      <c r="K17" s="33">
        <v>3.01</v>
      </c>
      <c r="L17" s="33">
        <v>3.03</v>
      </c>
      <c r="M17" s="33">
        <v>3.05</v>
      </c>
      <c r="N17" s="34">
        <v>3.04</v>
      </c>
      <c r="O17" s="33">
        <f>AVERAGE(J17:N17)</f>
        <v>3.03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3.5399999999999999E-8</v>
      </c>
      <c r="K21" s="110">
        <v>3.5899999999999997E-8</v>
      </c>
      <c r="L21" s="110">
        <v>3.25E-8</v>
      </c>
      <c r="M21" s="110">
        <v>2.9399999999999999E-8</v>
      </c>
      <c r="N21" s="110">
        <v>3.5399999999999999E-8</v>
      </c>
      <c r="O21" s="38">
        <f>AVERAGE(J21:N21)</f>
        <v>3.372E-8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201</v>
      </c>
      <c r="K24" s="2" t="s">
        <v>202</v>
      </c>
      <c r="L24" s="2" t="s">
        <v>203</v>
      </c>
      <c r="M24" s="2" t="s">
        <v>204</v>
      </c>
      <c r="N24" s="2" t="s">
        <v>205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719.38</v>
      </c>
      <c r="K25" s="30">
        <v>787.29</v>
      </c>
      <c r="L25" s="30">
        <v>819.79</v>
      </c>
      <c r="M25" s="30">
        <v>909.13</v>
      </c>
      <c r="N25" s="31">
        <v>764.43</v>
      </c>
      <c r="O25" s="33">
        <f>AVERAGE(J25:N25)</f>
        <v>800.00400000000002</v>
      </c>
      <c r="P25" s="40"/>
    </row>
    <row r="26" spans="2:16" x14ac:dyDescent="0.25">
      <c r="D26" s="142"/>
      <c r="E26" s="5" t="s">
        <v>1376</v>
      </c>
      <c r="F26" s="5">
        <v>44</v>
      </c>
      <c r="G26" s="5" t="s">
        <v>1384</v>
      </c>
      <c r="H26" s="5">
        <v>146453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44</v>
      </c>
      <c r="G27" s="5" t="s">
        <v>1383</v>
      </c>
      <c r="H27" s="5">
        <v>1000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24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19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11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201</v>
      </c>
      <c r="K37" s="2" t="s">
        <v>202</v>
      </c>
      <c r="L37" s="2" t="s">
        <v>203</v>
      </c>
      <c r="M37" s="2" t="s">
        <v>204</v>
      </c>
      <c r="N37" s="2" t="s">
        <v>205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1.08</v>
      </c>
      <c r="K38" s="30">
        <v>1.3</v>
      </c>
      <c r="L38" s="30">
        <v>1.27</v>
      </c>
      <c r="M38" s="30">
        <v>1.2</v>
      </c>
      <c r="N38" s="31">
        <v>1.06</v>
      </c>
      <c r="O38" s="33">
        <f>AVERAGE(J38:N38)</f>
        <v>1.1819999999999999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>
        <v>4.6900000000000004</v>
      </c>
      <c r="K39" s="33">
        <v>5.39</v>
      </c>
      <c r="L39" s="33">
        <v>5.1100000000000003</v>
      </c>
      <c r="M39" s="33">
        <v>5.46</v>
      </c>
      <c r="N39" s="34">
        <v>4.57</v>
      </c>
      <c r="O39" s="33">
        <f>AVERAGE(J39:N39)</f>
        <v>5.0440000000000005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3.77</v>
      </c>
      <c r="K40" s="33">
        <v>4.67</v>
      </c>
      <c r="L40" s="33">
        <v>3.98</v>
      </c>
      <c r="M40" s="33">
        <v>4.7</v>
      </c>
      <c r="N40" s="34">
        <v>3.88</v>
      </c>
      <c r="O40" s="33">
        <f>AVERAGE(J40:N40)</f>
        <v>4.2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>
        <v>14.11</v>
      </c>
      <c r="K41" s="33">
        <v>14.28</v>
      </c>
      <c r="L41" s="33">
        <v>15.49</v>
      </c>
      <c r="M41" s="33">
        <v>14.32</v>
      </c>
      <c r="N41" s="34">
        <v>15.21</v>
      </c>
      <c r="O41" s="33">
        <f>AVERAGE(J41:N41)</f>
        <v>14.681999999999999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>
        <v>2.15</v>
      </c>
      <c r="K42" s="28">
        <v>2.2000000000000002</v>
      </c>
      <c r="L42" s="28">
        <v>2.35</v>
      </c>
      <c r="M42" s="28">
        <v>2.2400000000000002</v>
      </c>
      <c r="N42" s="36">
        <v>2.31</v>
      </c>
      <c r="O42" s="33">
        <f>AVERAGE(J42:N42)</f>
        <v>2.25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201</v>
      </c>
      <c r="K46" s="2" t="s">
        <v>202</v>
      </c>
      <c r="L46" s="2" t="s">
        <v>203</v>
      </c>
      <c r="M46" s="2" t="s">
        <v>204</v>
      </c>
      <c r="N46" s="2" t="s">
        <v>205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47.19</v>
      </c>
      <c r="K47" s="30">
        <v>49.26</v>
      </c>
      <c r="L47" s="30">
        <v>53.75</v>
      </c>
      <c r="M47" s="30">
        <v>53.64</v>
      </c>
      <c r="N47" s="31">
        <v>52.34</v>
      </c>
      <c r="O47" s="33">
        <f>AVERAGE(J47:N47)</f>
        <v>51.23599999999999</v>
      </c>
      <c r="P47" s="40"/>
    </row>
    <row r="48" spans="4:16" x14ac:dyDescent="0.25">
      <c r="D48" s="143"/>
      <c r="E48" s="7" t="s">
        <v>1391</v>
      </c>
      <c r="F48" s="7">
        <v>100</v>
      </c>
      <c r="G48" s="7" t="s">
        <v>1390</v>
      </c>
      <c r="H48" s="7"/>
      <c r="I48" s="18" t="s">
        <v>54</v>
      </c>
      <c r="J48" s="32">
        <v>1.86</v>
      </c>
      <c r="K48" s="33">
        <v>1.92</v>
      </c>
      <c r="L48" s="33">
        <v>2.0099999999999998</v>
      </c>
      <c r="M48" s="33">
        <v>1.92</v>
      </c>
      <c r="N48" s="34">
        <v>1.99</v>
      </c>
      <c r="O48" s="33">
        <f>AVERAGE(J48:N48)</f>
        <v>1.94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>
        <v>8.0299999999999994</v>
      </c>
      <c r="K49" s="33">
        <v>7.71</v>
      </c>
      <c r="L49" s="33">
        <v>9.39</v>
      </c>
      <c r="M49" s="33">
        <v>9.1</v>
      </c>
      <c r="N49" s="34">
        <v>9.1300000000000008</v>
      </c>
      <c r="O49" s="33">
        <f>AVERAGE(J49:N49)</f>
        <v>8.6720000000000006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860.61000003540005</v>
      </c>
      <c r="K54" s="2">
        <f>SUM(K4:K50)</f>
        <v>933.99000003589993</v>
      </c>
      <c r="L54" s="2">
        <f>SUM(L4:L50)</f>
        <v>972.15000003249997</v>
      </c>
      <c r="M54" s="2">
        <f>SUM(M4:M50)</f>
        <v>1062.5900000294002</v>
      </c>
      <c r="N54" s="2">
        <f>SUM(N4:N50)</f>
        <v>914.12000003539993</v>
      </c>
      <c r="O54" s="38">
        <f>AVERAGE(J54:N54)</f>
        <v>948.69200003372009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6.7800745979711891E-2</v>
      </c>
      <c r="K56" s="104">
        <f>SUM(K4:K18)/K54</f>
        <v>6.4208396233037743E-2</v>
      </c>
      <c r="L56" s="104">
        <f>SUM(L4:L18)/L54</f>
        <v>6.070050917865271E-2</v>
      </c>
      <c r="M56" s="104">
        <f>SUM(M4:M18)/M54</f>
        <v>5.7293970391510872E-2</v>
      </c>
      <c r="N56" s="104">
        <f>SUM(N4:N18)/N54</f>
        <v>6.4761738062516339E-2</v>
      </c>
      <c r="O56" s="38">
        <f>AVERAGE(J56:N56)</f>
        <v>6.2953071969085908E-2</v>
      </c>
    </row>
    <row r="57" spans="4:16" x14ac:dyDescent="0.25">
      <c r="I57" s="107" t="s">
        <v>45</v>
      </c>
      <c r="J57" s="105">
        <f>J25/J54</f>
        <v>0.83589546945818582</v>
      </c>
      <c r="K57" s="105">
        <f t="shared" ref="K57:N57" si="0">K25/K54</f>
        <v>0.84293193714037495</v>
      </c>
      <c r="L57" s="105">
        <f t="shared" si="0"/>
        <v>0.84327521470204547</v>
      </c>
      <c r="M57" s="105">
        <f t="shared" si="0"/>
        <v>0.85557929208334893</v>
      </c>
      <c r="N57" s="105">
        <f t="shared" si="0"/>
        <v>0.83624688221502308</v>
      </c>
      <c r="O57" s="38">
        <f>AVERAGE(J57:N57)</f>
        <v>0.84278575911979559</v>
      </c>
    </row>
    <row r="58" spans="4:16" x14ac:dyDescent="0.25">
      <c r="I58" s="108" t="s">
        <v>46</v>
      </c>
      <c r="J58" s="102">
        <f>SUM(J38:J42)/J54</f>
        <v>2.997873601159497E-2</v>
      </c>
      <c r="K58" s="102">
        <f>SUM(K38:K42)/K54</f>
        <v>2.980759965195549E-2</v>
      </c>
      <c r="L58" s="102">
        <f>SUM(L38:L42)/L54</f>
        <v>2.9007869155024686E-2</v>
      </c>
      <c r="M58" s="102">
        <f>SUM(M38:M42)/M54</f>
        <v>2.6275421375344676E-2</v>
      </c>
      <c r="N58" s="102">
        <f>SUM(N38:N42)/N54</f>
        <v>2.9569421956584744E-2</v>
      </c>
      <c r="O58" s="38">
        <f>AVERAGE(J58:N58)</f>
        <v>2.8927809630100915E-2</v>
      </c>
    </row>
    <row r="59" spans="4:16" x14ac:dyDescent="0.25">
      <c r="I59" s="109" t="s">
        <v>1448</v>
      </c>
      <c r="J59" s="103">
        <f>SUM(J47:J49)/J54</f>
        <v>6.632504850937368E-2</v>
      </c>
      <c r="K59" s="103">
        <f>SUM(K47:K49)/K54</f>
        <v>6.305206693619464E-2</v>
      </c>
      <c r="L59" s="103">
        <f>SUM(L47:L49)/L54</f>
        <v>6.701640693084604E-2</v>
      </c>
      <c r="M59" s="103">
        <f>SUM(M47:M49)/M54</f>
        <v>6.0851316122127019E-2</v>
      </c>
      <c r="N59" s="103">
        <f>SUM(N47:N49)/N54</f>
        <v>6.9421957727150124E-2</v>
      </c>
      <c r="O59" s="38">
        <f>AVERAGE(J59:N59)</f>
        <v>6.5333359245138306E-2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12.603013314646113</v>
      </c>
      <c r="K61" s="27">
        <f t="shared" ref="K61:N61" si="1">K57/K59</f>
        <v>13.368823229750383</v>
      </c>
      <c r="L61" s="27">
        <f t="shared" si="1"/>
        <v>12.58311588641596</v>
      </c>
      <c r="M61" s="27">
        <f t="shared" si="1"/>
        <v>14.060160841323849</v>
      </c>
      <c r="N61" s="27">
        <f t="shared" si="1"/>
        <v>12.045855657106838</v>
      </c>
      <c r="O61" s="38">
        <f>AVERAGE(J61:N61)</f>
        <v>12.932193785848629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E67" s="40"/>
      <c r="F67" s="40"/>
      <c r="G67" s="40"/>
      <c r="H67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90'!A1" display="Next"/>
    <hyperlink ref="B4" location="'c80'!A1" display="Prev"/>
    <hyperlink ref="B10:B11" location="'Index of Integers'!A83" display="Index of Integers"/>
    <hyperlink ref="B13:B14" location="'Index of Parameters'!K2" display="Index of Parameters"/>
    <hyperlink ref="B16:B17" location="'Index of Results'!K2" display="Index of Results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7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7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221</v>
      </c>
      <c r="K3" s="2" t="s">
        <v>222</v>
      </c>
      <c r="L3" s="2" t="s">
        <v>223</v>
      </c>
      <c r="M3" s="2" t="s">
        <v>224</v>
      </c>
      <c r="N3" s="2" t="s">
        <v>225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66.22</v>
      </c>
      <c r="K4" s="30">
        <v>65.44</v>
      </c>
      <c r="L4" s="30">
        <v>65.27</v>
      </c>
      <c r="M4" s="30">
        <v>65.709999999999994</v>
      </c>
      <c r="N4" s="31">
        <v>65.67</v>
      </c>
      <c r="O4" s="33">
        <f>AVERAGE(J4:N4)</f>
        <v>65.662000000000006</v>
      </c>
      <c r="P4" s="40"/>
      <c r="R4">
        <f>O4+O13</f>
        <v>112.92000000000002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81">
        <v>150000</v>
      </c>
      <c r="G7" s="21" t="s">
        <v>1370</v>
      </c>
      <c r="H7" s="21">
        <v>5000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>
        <v>2</v>
      </c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256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40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>
        <v>0.1</v>
      </c>
      <c r="G13" s="20"/>
      <c r="H13" s="20"/>
      <c r="I13" s="10" t="s">
        <v>42</v>
      </c>
      <c r="J13" s="32">
        <v>46.84</v>
      </c>
      <c r="K13" s="33">
        <v>45</v>
      </c>
      <c r="L13" s="33">
        <v>46.27</v>
      </c>
      <c r="M13" s="33">
        <v>49.21</v>
      </c>
      <c r="N13" s="34">
        <v>48.97</v>
      </c>
      <c r="O13" s="33">
        <f>AVERAGE(J13:N13)</f>
        <v>47.258000000000003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0.65</v>
      </c>
      <c r="K15" s="33">
        <v>0.67</v>
      </c>
      <c r="L15" s="33">
        <v>0.65</v>
      </c>
      <c r="M15" s="33">
        <v>0.66</v>
      </c>
      <c r="N15" s="34">
        <v>0.65</v>
      </c>
      <c r="O15" s="33">
        <f>AVERAGE(J15:N15)</f>
        <v>0.65600000000000003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6.05</v>
      </c>
      <c r="K17" s="33">
        <v>6.06</v>
      </c>
      <c r="L17" s="33">
        <v>6.07</v>
      </c>
      <c r="M17" s="33">
        <v>6.05</v>
      </c>
      <c r="N17" s="34">
        <v>6.01</v>
      </c>
      <c r="O17" s="33">
        <f>AVERAGE(J17:N17)</f>
        <v>6.048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2.1200000000000001E-8</v>
      </c>
      <c r="K21" s="110">
        <v>2.0999999999999999E-8</v>
      </c>
      <c r="L21" s="110">
        <v>1.8699999999999999E-8</v>
      </c>
      <c r="M21" s="110">
        <v>2.0400000000000001E-8</v>
      </c>
      <c r="N21" s="110">
        <v>1.9099999999999999E-8</v>
      </c>
      <c r="O21" s="38">
        <f>AVERAGE(J21:N21)</f>
        <v>2.0079999999999998E-8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221</v>
      </c>
      <c r="K24" s="2" t="s">
        <v>222</v>
      </c>
      <c r="L24" s="2" t="s">
        <v>223</v>
      </c>
      <c r="M24" s="2" t="s">
        <v>224</v>
      </c>
      <c r="N24" s="2" t="s">
        <v>225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1463.18</v>
      </c>
      <c r="K25" s="30">
        <v>1774.1</v>
      </c>
      <c r="L25" s="30">
        <v>1596.06</v>
      </c>
      <c r="M25" s="30">
        <v>1507.32</v>
      </c>
      <c r="N25" s="31">
        <v>1660.33</v>
      </c>
      <c r="O25" s="33">
        <f>AVERAGE(J25:N25)</f>
        <v>1600.1979999999999</v>
      </c>
      <c r="P25" s="40"/>
    </row>
    <row r="26" spans="2:16" x14ac:dyDescent="0.25">
      <c r="D26" s="142"/>
      <c r="E26" s="5" t="s">
        <v>1376</v>
      </c>
      <c r="F26" s="5">
        <v>46</v>
      </c>
      <c r="G26" s="5" t="s">
        <v>1384</v>
      </c>
      <c r="H26" s="5">
        <v>200923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46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>
        <v>2</v>
      </c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9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10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>
        <v>1</v>
      </c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11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221</v>
      </c>
      <c r="K37" s="2" t="s">
        <v>222</v>
      </c>
      <c r="L37" s="2" t="s">
        <v>223</v>
      </c>
      <c r="M37" s="2" t="s">
        <v>224</v>
      </c>
      <c r="N37" s="2" t="s">
        <v>225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2.08</v>
      </c>
      <c r="K38" s="30">
        <v>2.2799999999999998</v>
      </c>
      <c r="L38" s="30">
        <v>3.09</v>
      </c>
      <c r="M38" s="30">
        <v>2.0099999999999998</v>
      </c>
      <c r="N38" s="31">
        <v>2.5499999999999998</v>
      </c>
      <c r="O38" s="33">
        <f>AVERAGE(J38:N38)</f>
        <v>2.4019999999999997</v>
      </c>
      <c r="P38" s="40"/>
    </row>
    <row r="39" spans="4:16" x14ac:dyDescent="0.25">
      <c r="D39" s="144"/>
      <c r="E39" s="6" t="s">
        <v>1386</v>
      </c>
      <c r="F39" s="6">
        <v>0.1</v>
      </c>
      <c r="G39" s="6"/>
      <c r="H39" s="6"/>
      <c r="I39" s="14" t="s">
        <v>48</v>
      </c>
      <c r="J39" s="32">
        <v>6.5</v>
      </c>
      <c r="K39" s="33">
        <v>8.84</v>
      </c>
      <c r="L39" s="33">
        <v>8.69</v>
      </c>
      <c r="M39" s="33">
        <v>6.74</v>
      </c>
      <c r="N39" s="34">
        <v>9.24</v>
      </c>
      <c r="O39" s="33">
        <f>AVERAGE(J39:N39)</f>
        <v>8.0020000000000007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4.03</v>
      </c>
      <c r="K40" s="33">
        <v>8.11</v>
      </c>
      <c r="L40" s="33">
        <v>7.66</v>
      </c>
      <c r="M40" s="33">
        <v>4.12</v>
      </c>
      <c r="N40" s="34">
        <v>7.01</v>
      </c>
      <c r="O40" s="33">
        <f>AVERAGE(J40:N40)</f>
        <v>6.1859999999999999</v>
      </c>
      <c r="P40" s="40"/>
    </row>
    <row r="41" spans="4:16" x14ac:dyDescent="0.25">
      <c r="D41" s="144"/>
      <c r="E41" s="6" t="s">
        <v>1388</v>
      </c>
      <c r="F41" s="6">
        <v>170</v>
      </c>
      <c r="G41" s="6"/>
      <c r="H41" s="6"/>
      <c r="I41" s="16" t="s">
        <v>50</v>
      </c>
      <c r="J41" s="32">
        <v>24.86</v>
      </c>
      <c r="K41" s="33">
        <v>19.66</v>
      </c>
      <c r="L41" s="33">
        <v>22.61</v>
      </c>
      <c r="M41" s="33">
        <v>31.35</v>
      </c>
      <c r="N41" s="34">
        <v>24.14</v>
      </c>
      <c r="O41" s="33">
        <f>AVERAGE(J41:N41)</f>
        <v>24.523999999999997</v>
      </c>
      <c r="P41" s="40"/>
    </row>
    <row r="42" spans="4:16" x14ac:dyDescent="0.25">
      <c r="D42" s="144"/>
      <c r="E42" s="6" t="s">
        <v>1389</v>
      </c>
      <c r="F42" s="80">
        <v>0</v>
      </c>
      <c r="G42" s="6"/>
      <c r="H42" s="6"/>
      <c r="I42" s="16" t="s">
        <v>51</v>
      </c>
      <c r="J42" s="35">
        <v>3.58</v>
      </c>
      <c r="K42" s="28">
        <v>3.02</v>
      </c>
      <c r="L42" s="28">
        <v>3.08</v>
      </c>
      <c r="M42" s="28">
        <v>3.94</v>
      </c>
      <c r="N42" s="36">
        <v>3.3</v>
      </c>
      <c r="O42" s="33">
        <f>AVERAGE(J42:N42)</f>
        <v>3.3839999999999995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221</v>
      </c>
      <c r="K46" s="2" t="s">
        <v>222</v>
      </c>
      <c r="L46" s="2" t="s">
        <v>223</v>
      </c>
      <c r="M46" s="2" t="s">
        <v>224</v>
      </c>
      <c r="N46" s="2" t="s">
        <v>225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106.51</v>
      </c>
      <c r="K47" s="30">
        <v>79.92</v>
      </c>
      <c r="L47" s="30">
        <v>78.17</v>
      </c>
      <c r="M47" s="30">
        <v>120.38</v>
      </c>
      <c r="N47" s="31">
        <v>87.95</v>
      </c>
      <c r="O47" s="33">
        <f>AVERAGE(J47:N47)</f>
        <v>94.585999999999999</v>
      </c>
      <c r="P47" s="40"/>
    </row>
    <row r="48" spans="4:16" x14ac:dyDescent="0.25">
      <c r="D48" s="143"/>
      <c r="E48" s="7" t="s">
        <v>1391</v>
      </c>
      <c r="F48" s="7">
        <v>100</v>
      </c>
      <c r="G48" s="7" t="s">
        <v>1390</v>
      </c>
      <c r="H48" s="7"/>
      <c r="I48" s="18" t="s">
        <v>54</v>
      </c>
      <c r="J48" s="32">
        <v>3.09</v>
      </c>
      <c r="K48" s="33">
        <v>2.56</v>
      </c>
      <c r="L48" s="33">
        <v>2.5099999999999998</v>
      </c>
      <c r="M48" s="33">
        <v>3.3</v>
      </c>
      <c r="N48" s="34">
        <v>2.67</v>
      </c>
      <c r="O48" s="33">
        <f>AVERAGE(J48:N48)</f>
        <v>2.8260000000000001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>
        <v>2</v>
      </c>
      <c r="I49" s="18" t="s">
        <v>55</v>
      </c>
      <c r="J49" s="32">
        <v>27.02</v>
      </c>
      <c r="K49" s="33">
        <v>11.95</v>
      </c>
      <c r="L49" s="33">
        <v>11.8</v>
      </c>
      <c r="M49" s="33">
        <v>29.4</v>
      </c>
      <c r="N49" s="34">
        <v>12.15</v>
      </c>
      <c r="O49" s="33">
        <f>AVERAGE(J49:N49)</f>
        <v>18.463999999999999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1760.6100000211998</v>
      </c>
      <c r="K54" s="2">
        <f>SUM(K4:K50)</f>
        <v>2027.6100000209999</v>
      </c>
      <c r="L54" s="2">
        <f>SUM(L4:L50)</f>
        <v>1851.9300000186997</v>
      </c>
      <c r="M54" s="2">
        <f>SUM(M4:M50)</f>
        <v>1830.1900000203998</v>
      </c>
      <c r="N54" s="2">
        <f>SUM(N4:N50)</f>
        <v>1930.6400000191002</v>
      </c>
      <c r="O54" s="38">
        <f>AVERAGE(J54:N54)</f>
        <v>1880.1960000200797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6.8021878779830833E-2</v>
      </c>
      <c r="K56" s="104">
        <f>SUM(K4:K18)/K54</f>
        <v>5.778724705381532E-2</v>
      </c>
      <c r="L56" s="104">
        <f>SUM(L4:L18)/L54</f>
        <v>6.385770520419555E-2</v>
      </c>
      <c r="M56" s="104">
        <f>SUM(M4:M18)/M54</f>
        <v>6.6457580906159608E-2</v>
      </c>
      <c r="N56" s="104">
        <f>SUM(N4:N18)/N54</f>
        <v>6.2828906475987226E-2</v>
      </c>
      <c r="O56" s="38">
        <f>AVERAGE(J56:N56)</f>
        <v>6.3790663683997703E-2</v>
      </c>
    </row>
    <row r="57" spans="4:16" x14ac:dyDescent="0.25">
      <c r="I57" s="107" t="s">
        <v>45</v>
      </c>
      <c r="J57" s="105">
        <f>J25/J54</f>
        <v>0.83106423340909208</v>
      </c>
      <c r="K57" s="105">
        <f t="shared" ref="K57:N57" si="0">K25/K54</f>
        <v>0.87497102499081458</v>
      </c>
      <c r="L57" s="105">
        <f t="shared" si="0"/>
        <v>0.8618360305108097</v>
      </c>
      <c r="M57" s="105">
        <f t="shared" si="0"/>
        <v>0.82358662214480405</v>
      </c>
      <c r="N57" s="105">
        <f t="shared" si="0"/>
        <v>0.85998943354720403</v>
      </c>
      <c r="O57" s="38">
        <f>AVERAGE(J57:N57)</f>
        <v>0.85028946892054491</v>
      </c>
    </row>
    <row r="58" spans="4:16" x14ac:dyDescent="0.25">
      <c r="I58" s="108" t="s">
        <v>46</v>
      </c>
      <c r="J58" s="102">
        <f>SUM(J38:J42)/J54</f>
        <v>2.3315782597796052E-2</v>
      </c>
      <c r="K58" s="102">
        <f>SUM(K38:K42)/K54</f>
        <v>2.0669655406890843E-2</v>
      </c>
      <c r="L58" s="102">
        <f>SUM(L38:L42)/L54</f>
        <v>2.4369171620711526E-2</v>
      </c>
      <c r="M58" s="102">
        <f>SUM(M38:M42)/M54</f>
        <v>2.6314207814195897E-2</v>
      </c>
      <c r="N58" s="102">
        <f>SUM(N38:N42)/N54</f>
        <v>2.395060705234665E-2</v>
      </c>
      <c r="O58" s="38">
        <f>AVERAGE(J58:N58)</f>
        <v>2.3723884898388191E-2</v>
      </c>
    </row>
    <row r="59" spans="4:16" x14ac:dyDescent="0.25">
      <c r="I59" s="109" t="s">
        <v>1448</v>
      </c>
      <c r="J59" s="103">
        <f>SUM(J47:J49)/J54</f>
        <v>7.7598105201239873E-2</v>
      </c>
      <c r="K59" s="103">
        <f>SUM(K47:K49)/K54</f>
        <v>4.6572072538122219E-2</v>
      </c>
      <c r="L59" s="103">
        <f>SUM(L47:L49)/L54</f>
        <v>4.9937092654185736E-2</v>
      </c>
      <c r="M59" s="103">
        <f>SUM(M47:M49)/M54</f>
        <v>8.3641589123694099E-2</v>
      </c>
      <c r="N59" s="103">
        <f>SUM(N47:N49)/N54</f>
        <v>5.3231052914568894E-2</v>
      </c>
      <c r="O59" s="38">
        <f>AVERAGE(J59:N59)</f>
        <v>6.2195982486362156E-2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10.709852144634754</v>
      </c>
      <c r="K61" s="27">
        <f t="shared" ref="K61:N61" si="1">K57/K59</f>
        <v>18.787461611775917</v>
      </c>
      <c r="L61" s="27">
        <f t="shared" si="1"/>
        <v>17.258434256055363</v>
      </c>
      <c r="M61" s="27">
        <f t="shared" si="1"/>
        <v>9.8466161484191286</v>
      </c>
      <c r="N61" s="27">
        <f t="shared" si="1"/>
        <v>16.1557847620901</v>
      </c>
      <c r="O61" s="38">
        <f>AVERAGE(J61:N61)</f>
        <v>14.551629784595054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E67" s="40"/>
      <c r="F67" s="40"/>
      <c r="G67" s="40"/>
      <c r="H67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95'!A1" display="Next"/>
    <hyperlink ref="B4" location="'c85'!A1" display="Prev"/>
    <hyperlink ref="B10:B11" location="'Index of Integers'!A94" display="Index of Integers"/>
    <hyperlink ref="B13:B14" location="'Index of Parameters'!L2" display="Index of Parameters"/>
    <hyperlink ref="B16:B17" location="'Index of Results'!L2" display="Index of Results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8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231</v>
      </c>
      <c r="K3" s="2" t="s">
        <v>232</v>
      </c>
      <c r="L3" s="2" t="s">
        <v>233</v>
      </c>
      <c r="M3" s="2" t="s">
        <v>234</v>
      </c>
      <c r="N3" s="2" t="s">
        <v>235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65.55</v>
      </c>
      <c r="K4" s="30">
        <v>65.69</v>
      </c>
      <c r="L4" s="30">
        <v>66.3</v>
      </c>
      <c r="M4" s="30">
        <v>65.739999999999995</v>
      </c>
      <c r="N4" s="31">
        <v>65.8</v>
      </c>
      <c r="O4" s="33">
        <f>AVERAGE(J4:N4)</f>
        <v>65.816000000000003</v>
      </c>
      <c r="P4" s="40"/>
      <c r="R4">
        <f>O4+O13</f>
        <v>114.994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21">
        <v>150000</v>
      </c>
      <c r="G7" s="21" t="s">
        <v>1370</v>
      </c>
      <c r="H7" s="21">
        <v>10000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256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40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>
        <v>0.2</v>
      </c>
      <c r="G13" s="20"/>
      <c r="H13" s="20"/>
      <c r="I13" s="10" t="s">
        <v>42</v>
      </c>
      <c r="J13" s="32">
        <v>51.27</v>
      </c>
      <c r="K13" s="33">
        <v>49.44</v>
      </c>
      <c r="L13" s="33">
        <v>49.43</v>
      </c>
      <c r="M13" s="33">
        <v>47.31</v>
      </c>
      <c r="N13" s="34">
        <v>48.44</v>
      </c>
      <c r="O13" s="33">
        <f>AVERAGE(J13:N13)</f>
        <v>49.178000000000004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2.19</v>
      </c>
      <c r="K15" s="33">
        <v>2.17</v>
      </c>
      <c r="L15" s="33">
        <v>2.17</v>
      </c>
      <c r="M15" s="33">
        <v>2.15</v>
      </c>
      <c r="N15" s="34">
        <v>2.16</v>
      </c>
      <c r="O15" s="33">
        <f>AVERAGE(J15:N15)</f>
        <v>2.1680000000000001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6.1</v>
      </c>
      <c r="K17" s="33">
        <v>6.06</v>
      </c>
      <c r="L17" s="33">
        <v>6.06</v>
      </c>
      <c r="M17" s="33">
        <v>6.06</v>
      </c>
      <c r="N17" s="34">
        <v>6.03</v>
      </c>
      <c r="O17" s="33">
        <f>AVERAGE(J17:N17)</f>
        <v>6.0619999999999994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3.8000000000000003E-8</v>
      </c>
      <c r="K21" s="110">
        <v>3.8899999999999998E-8</v>
      </c>
      <c r="L21" s="110">
        <v>3.8099999999999997E-8</v>
      </c>
      <c r="M21" s="110">
        <v>3.9799999999999999E-8</v>
      </c>
      <c r="N21" s="110">
        <v>2.8900000000000001E-8</v>
      </c>
      <c r="O21" s="38">
        <f>AVERAGE(J21:N21)</f>
        <v>3.6740000000000003E-8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231</v>
      </c>
      <c r="K24" s="2" t="s">
        <v>232</v>
      </c>
      <c r="L24" s="2" t="s">
        <v>233</v>
      </c>
      <c r="M24" s="2" t="s">
        <v>234</v>
      </c>
      <c r="N24" s="2" t="s">
        <v>235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3843.23</v>
      </c>
      <c r="K25" s="30">
        <v>4698.2299999999996</v>
      </c>
      <c r="L25" s="30">
        <v>4022.74</v>
      </c>
      <c r="M25" s="30">
        <v>4017.25</v>
      </c>
      <c r="N25" s="31">
        <v>5645.35</v>
      </c>
      <c r="O25" s="33">
        <f>AVERAGE(J25:N25)</f>
        <v>4445.3599999999988</v>
      </c>
      <c r="P25" s="40"/>
    </row>
    <row r="26" spans="2:16" x14ac:dyDescent="0.25">
      <c r="D26" s="142"/>
      <c r="E26" s="5" t="s">
        <v>1376</v>
      </c>
      <c r="F26" s="5">
        <v>22</v>
      </c>
      <c r="G26" s="5" t="s">
        <v>1384</v>
      </c>
      <c r="H26" s="5">
        <v>52140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45</v>
      </c>
      <c r="G27" s="5" t="s">
        <v>1383</v>
      </c>
      <c r="H27" s="5">
        <v>2000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2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13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13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231</v>
      </c>
      <c r="K37" s="2" t="s">
        <v>232</v>
      </c>
      <c r="L37" s="2" t="s">
        <v>233</v>
      </c>
      <c r="M37" s="2" t="s">
        <v>234</v>
      </c>
      <c r="N37" s="2" t="s">
        <v>235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1.98</v>
      </c>
      <c r="K38" s="30">
        <v>1.81</v>
      </c>
      <c r="L38" s="30">
        <v>1.89</v>
      </c>
      <c r="M38" s="30">
        <v>1.95</v>
      </c>
      <c r="N38" s="31">
        <v>1.9</v>
      </c>
      <c r="O38" s="33">
        <f>AVERAGE(J38:N38)</f>
        <v>1.9059999999999999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>
        <v>7.34</v>
      </c>
      <c r="K39" s="33">
        <v>6.69</v>
      </c>
      <c r="L39" s="33">
        <v>6.71</v>
      </c>
      <c r="M39" s="33">
        <v>6.76</v>
      </c>
      <c r="N39" s="34">
        <v>6.63</v>
      </c>
      <c r="O39" s="33">
        <f>AVERAGE(J39:N39)</f>
        <v>6.8260000000000005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8.31</v>
      </c>
      <c r="K40" s="33">
        <v>5.57</v>
      </c>
      <c r="L40" s="33">
        <v>7.13</v>
      </c>
      <c r="M40" s="33">
        <v>7.24</v>
      </c>
      <c r="N40" s="34">
        <v>5.13</v>
      </c>
      <c r="O40" s="33">
        <f>AVERAGE(J40:N40)</f>
        <v>6.6760000000000002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>
        <v>25.65</v>
      </c>
      <c r="K41" s="33">
        <v>31.41</v>
      </c>
      <c r="L41" s="33">
        <v>26.92</v>
      </c>
      <c r="M41" s="33">
        <v>28.3</v>
      </c>
      <c r="N41" s="34">
        <v>35.82</v>
      </c>
      <c r="O41" s="33">
        <f>AVERAGE(J41:N41)</f>
        <v>29.619999999999997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>
        <v>3.08</v>
      </c>
      <c r="K42" s="28">
        <v>3.69</v>
      </c>
      <c r="L42" s="28">
        <v>3.23</v>
      </c>
      <c r="M42" s="28">
        <v>3.37</v>
      </c>
      <c r="N42" s="36">
        <v>4.03</v>
      </c>
      <c r="O42" s="33">
        <f>AVERAGE(J42:N42)</f>
        <v>3.4800000000000004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231</v>
      </c>
      <c r="K46" s="2" t="s">
        <v>232</v>
      </c>
      <c r="L46" s="2" t="s">
        <v>233</v>
      </c>
      <c r="M46" s="2" t="s">
        <v>234</v>
      </c>
      <c r="N46" s="2" t="s">
        <v>235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86.04</v>
      </c>
      <c r="K47" s="30">
        <v>128.82</v>
      </c>
      <c r="L47" s="30">
        <v>97.17</v>
      </c>
      <c r="M47" s="30">
        <v>57.75</v>
      </c>
      <c r="N47" s="31">
        <v>150.08000000000001</v>
      </c>
      <c r="O47" s="33">
        <f>AVERAGE(J47:N47)</f>
        <v>103.97200000000001</v>
      </c>
      <c r="P47" s="40"/>
    </row>
    <row r="48" spans="4:16" x14ac:dyDescent="0.25">
      <c r="D48" s="143"/>
      <c r="E48" s="7" t="s">
        <v>1391</v>
      </c>
      <c r="F48" s="7">
        <v>100</v>
      </c>
      <c r="G48" s="7" t="s">
        <v>1390</v>
      </c>
      <c r="H48" s="7"/>
      <c r="I48" s="18" t="s">
        <v>54</v>
      </c>
      <c r="J48" s="32">
        <v>2.54</v>
      </c>
      <c r="K48" s="33">
        <v>3.08</v>
      </c>
      <c r="L48" s="33">
        <v>2.73</v>
      </c>
      <c r="M48" s="33">
        <v>2.71</v>
      </c>
      <c r="N48" s="34">
        <v>3.32</v>
      </c>
      <c r="O48" s="33">
        <f>AVERAGE(J48:N48)</f>
        <v>2.8759999999999999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>
        <v>13.71</v>
      </c>
      <c r="K49" s="33">
        <v>14.55</v>
      </c>
      <c r="L49" s="33">
        <v>24.69</v>
      </c>
      <c r="M49" s="33">
        <v>13.78</v>
      </c>
      <c r="N49" s="34">
        <v>16.66</v>
      </c>
      <c r="O49" s="33">
        <f>AVERAGE(J49:N49)</f>
        <v>16.678000000000001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4116.9900000380003</v>
      </c>
      <c r="K54" s="2">
        <f>SUM(K4:K50)</f>
        <v>5017.2100000388982</v>
      </c>
      <c r="L54" s="2">
        <f>SUM(L4:L50)</f>
        <v>4317.1700000380988</v>
      </c>
      <c r="M54" s="2">
        <f>SUM(M4:M50)</f>
        <v>4260.3700000397994</v>
      </c>
      <c r="N54" s="2">
        <f>SUM(N4:N50)</f>
        <v>5991.3500000288996</v>
      </c>
      <c r="O54" s="38">
        <f>AVERAGE(J54:N54)</f>
        <v>4740.6180000367394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3.0388706311855314E-2</v>
      </c>
      <c r="K56" s="104">
        <f>SUM(K4:K18)/K54</f>
        <v>2.4587370271334785E-2</v>
      </c>
      <c r="L56" s="104">
        <f>SUM(L4:L18)/L54</f>
        <v>2.8713254284382143E-2</v>
      </c>
      <c r="M56" s="104">
        <f>SUM(M4:M18)/M54</f>
        <v>2.8462316652982541E-2</v>
      </c>
      <c r="N56" s="104">
        <f>SUM(N4:N18)/N54</f>
        <v>2.0434459679272526E-2</v>
      </c>
      <c r="O56" s="38">
        <f>AVERAGE(J56:N56)</f>
        <v>2.651722143996546E-2</v>
      </c>
    </row>
    <row r="57" spans="4:16" x14ac:dyDescent="0.25">
      <c r="I57" s="107" t="s">
        <v>45</v>
      </c>
      <c r="J57" s="105">
        <f>J25/J54</f>
        <v>0.93350481783160189</v>
      </c>
      <c r="K57" s="105">
        <f t="shared" ref="K57:N57" si="0">K25/K54</f>
        <v>0.93642283260289572</v>
      </c>
      <c r="L57" s="105">
        <f t="shared" si="0"/>
        <v>0.9318002302352002</v>
      </c>
      <c r="M57" s="105">
        <f t="shared" si="0"/>
        <v>0.94293453384623205</v>
      </c>
      <c r="N57" s="105">
        <f t="shared" si="0"/>
        <v>0.94225007719007736</v>
      </c>
      <c r="O57" s="38">
        <f>AVERAGE(J57:N57)</f>
        <v>0.93738249834120135</v>
      </c>
    </row>
    <row r="58" spans="4:16" x14ac:dyDescent="0.25">
      <c r="I58" s="108" t="s">
        <v>46</v>
      </c>
      <c r="J58" s="102">
        <f>SUM(J38:J42)/J54</f>
        <v>1.1260654021402066E-2</v>
      </c>
      <c r="K58" s="102">
        <f>SUM(K38:K42)/K54</f>
        <v>9.8002674792601451E-3</v>
      </c>
      <c r="L58" s="102">
        <f>SUM(L38:L42)/L54</f>
        <v>1.0627332256917173E-2</v>
      </c>
      <c r="M58" s="102">
        <f>SUM(M38:M42)/M54</f>
        <v>1.117743294586037E-2</v>
      </c>
      <c r="N58" s="102">
        <f>SUM(N38:N42)/N54</f>
        <v>8.9312091598290691E-3</v>
      </c>
      <c r="O58" s="38">
        <f>AVERAGE(J58:N58)</f>
        <v>1.0359379172653765E-2</v>
      </c>
    </row>
    <row r="59" spans="4:16" x14ac:dyDescent="0.25">
      <c r="I59" s="109" t="s">
        <v>1448</v>
      </c>
      <c r="J59" s="103">
        <f>SUM(J47:J49)/J54</f>
        <v>2.4845821825910646E-2</v>
      </c>
      <c r="K59" s="103">
        <f>SUM(K47:K49)/K54</f>
        <v>2.9189529638756321E-2</v>
      </c>
      <c r="L59" s="103">
        <f>SUM(L47:L49)/L54</f>
        <v>2.8859183214675472E-2</v>
      </c>
      <c r="M59" s="103">
        <f>SUM(M47:M49)/M54</f>
        <v>1.7425716545583239E-2</v>
      </c>
      <c r="N59" s="103">
        <f>SUM(N47:N49)/N54</f>
        <v>2.83842539659976E-2</v>
      </c>
      <c r="O59" s="38">
        <f>AVERAGE(J59:N59)</f>
        <v>2.5740901038184653E-2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37.571903411868213</v>
      </c>
      <c r="K61" s="27">
        <f t="shared" ref="K61:N61" si="1">K57/K59</f>
        <v>32.080778422669844</v>
      </c>
      <c r="L61" s="27">
        <f t="shared" si="1"/>
        <v>32.287824062926397</v>
      </c>
      <c r="M61" s="27">
        <f t="shared" si="1"/>
        <v>54.111664870689658</v>
      </c>
      <c r="N61" s="27">
        <f t="shared" si="1"/>
        <v>33.196224861813477</v>
      </c>
      <c r="O61" s="38">
        <f>AVERAGE(J61:N61)</f>
        <v>37.849679125993518</v>
      </c>
    </row>
    <row r="62" spans="4:16" x14ac:dyDescent="0.25">
      <c r="I62" s="75"/>
    </row>
    <row r="63" spans="4:16" x14ac:dyDescent="0.25">
      <c r="I63" s="120" t="s">
        <v>1471</v>
      </c>
      <c r="J63" s="119">
        <v>410.50299999999999</v>
      </c>
      <c r="K63" s="119">
        <v>506.71899999999999</v>
      </c>
      <c r="L63" s="119">
        <v>464.57100000000003</v>
      </c>
      <c r="M63" s="119">
        <v>463.79700000000003</v>
      </c>
      <c r="N63" s="119"/>
      <c r="O63" s="38">
        <f>AVERAGE(J63:N63)</f>
        <v>461.39750000000004</v>
      </c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25</v>
      </c>
      <c r="G67" s="54" t="s">
        <v>1466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00'!A1" display="Next"/>
    <hyperlink ref="B4" location="'c90'!A1" display="Prev"/>
    <hyperlink ref="B10:B11" location="'Index of Integers'!A105" display="Index of Integers"/>
    <hyperlink ref="B13:B14" location="'Index of Parameters'!M2" display="Index of Parameters"/>
    <hyperlink ref="B16:B17" location="'Index of Results'!M2" display="Index of Results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8"/>
  <sheetViews>
    <sheetView tabSelected="1"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9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251</v>
      </c>
      <c r="K3" s="2" t="s">
        <v>252</v>
      </c>
      <c r="L3" s="2" t="s">
        <v>253</v>
      </c>
      <c r="M3" s="2" t="s">
        <v>254</v>
      </c>
      <c r="N3" s="2" t="s">
        <v>255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62.39</v>
      </c>
      <c r="K4" s="30">
        <v>62.82</v>
      </c>
      <c r="L4" s="30">
        <v>62.87</v>
      </c>
      <c r="M4" s="30">
        <v>62.85</v>
      </c>
      <c r="N4" s="31">
        <v>62.25</v>
      </c>
      <c r="O4" s="33">
        <f>AVERAGE(J4:N4)</f>
        <v>62.636000000000003</v>
      </c>
      <c r="P4" s="40"/>
      <c r="R4">
        <f>O4+O13</f>
        <v>135.85399999999998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21">
        <v>500000</v>
      </c>
      <c r="G7" s="21" t="s">
        <v>1370</v>
      </c>
      <c r="H7" s="21">
        <v>10000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64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40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>
        <v>0.5</v>
      </c>
      <c r="G13" s="20"/>
      <c r="H13" s="20"/>
      <c r="I13" s="10" t="s">
        <v>42</v>
      </c>
      <c r="J13" s="32">
        <v>72.77</v>
      </c>
      <c r="K13" s="33">
        <v>73.75</v>
      </c>
      <c r="L13" s="33">
        <v>74.650000000000006</v>
      </c>
      <c r="M13" s="33">
        <v>70.38</v>
      </c>
      <c r="N13" s="34">
        <v>74.540000000000006</v>
      </c>
      <c r="O13" s="33">
        <f>AVERAGE(J13:N13)</f>
        <v>73.217999999999989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0.83</v>
      </c>
      <c r="K15" s="33">
        <v>0.85</v>
      </c>
      <c r="L15" s="33">
        <v>0.85</v>
      </c>
      <c r="M15" s="33">
        <v>0.84</v>
      </c>
      <c r="N15" s="34">
        <v>0.86</v>
      </c>
      <c r="O15" s="33">
        <f>AVERAGE(J15:N15)</f>
        <v>0.84599999999999986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23.65</v>
      </c>
      <c r="K17" s="33">
        <v>23.68</v>
      </c>
      <c r="L17" s="33">
        <v>23.88</v>
      </c>
      <c r="M17" s="33">
        <v>23.58</v>
      </c>
      <c r="N17" s="34">
        <v>23.77</v>
      </c>
      <c r="O17" s="33">
        <f>AVERAGE(J17:N17)</f>
        <v>23.711999999999996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1.0600000000000001E-8</v>
      </c>
      <c r="K21" s="110">
        <v>9.9300000000000002E-9</v>
      </c>
      <c r="L21" s="110">
        <v>9.8899999999999996E-9</v>
      </c>
      <c r="M21" s="110">
        <v>8.7299999999999994E-9</v>
      </c>
      <c r="N21" s="110">
        <v>9.9499999999999998E-9</v>
      </c>
      <c r="O21" s="38">
        <f>AVERAGE(J21:N21)</f>
        <v>9.8199999999999996E-9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251</v>
      </c>
      <c r="K24" s="2" t="s">
        <v>252</v>
      </c>
      <c r="L24" s="2" t="s">
        <v>253</v>
      </c>
      <c r="M24" s="2" t="s">
        <v>254</v>
      </c>
      <c r="N24" s="2" t="s">
        <v>255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6385.13</v>
      </c>
      <c r="K25" s="30">
        <v>7076.9</v>
      </c>
      <c r="L25" s="30">
        <v>7380.57</v>
      </c>
      <c r="M25" s="30">
        <v>76356.600000000006</v>
      </c>
      <c r="N25" s="31">
        <v>70550.600000000006</v>
      </c>
      <c r="O25" s="33">
        <f>AVERAGE(J25:N25)</f>
        <v>33549.960000000006</v>
      </c>
      <c r="P25" s="40"/>
    </row>
    <row r="26" spans="2:16" x14ac:dyDescent="0.25">
      <c r="D26" s="142"/>
      <c r="E26" s="5" t="s">
        <v>1376</v>
      </c>
      <c r="F26" s="5">
        <v>49</v>
      </c>
      <c r="G26" s="5" t="s">
        <v>1384</v>
      </c>
      <c r="H26" s="5">
        <v>1051872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50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11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16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11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251</v>
      </c>
      <c r="K37" s="2" t="s">
        <v>252</v>
      </c>
      <c r="L37" s="2" t="s">
        <v>253</v>
      </c>
      <c r="M37" s="2" t="s">
        <v>254</v>
      </c>
      <c r="N37" s="2" t="s">
        <v>255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5.49</v>
      </c>
      <c r="K38" s="30">
        <v>5.74</v>
      </c>
      <c r="L38" s="30">
        <v>7.2</v>
      </c>
      <c r="M38" s="30">
        <v>5.76</v>
      </c>
      <c r="N38" s="31">
        <v>5.71</v>
      </c>
      <c r="O38" s="33">
        <f>AVERAGE(J38:N38)</f>
        <v>5.9799999999999995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>
        <v>21.17</v>
      </c>
      <c r="K39" s="33">
        <v>22.1</v>
      </c>
      <c r="L39" s="33">
        <v>22.16</v>
      </c>
      <c r="M39" s="33">
        <v>21.3</v>
      </c>
      <c r="N39" s="34">
        <v>22.72</v>
      </c>
      <c r="O39" s="33">
        <f>AVERAGE(J39:N39)</f>
        <v>21.89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18.66</v>
      </c>
      <c r="K40" s="33">
        <v>18.45</v>
      </c>
      <c r="L40" s="33">
        <v>19.66</v>
      </c>
      <c r="M40" s="33">
        <v>15.39</v>
      </c>
      <c r="N40" s="34">
        <v>19.46</v>
      </c>
      <c r="O40" s="33">
        <f>AVERAGE(J40:N40)</f>
        <v>18.324000000000002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>
        <v>61.43</v>
      </c>
      <c r="K41" s="33">
        <v>66.62</v>
      </c>
      <c r="L41" s="33">
        <v>66.819999999999993</v>
      </c>
      <c r="M41" s="33">
        <v>83.91</v>
      </c>
      <c r="N41" s="34">
        <v>70.36</v>
      </c>
      <c r="O41" s="33">
        <f>AVERAGE(J41:N41)</f>
        <v>69.828000000000003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>
        <v>6.76</v>
      </c>
      <c r="K42" s="28">
        <v>7.08</v>
      </c>
      <c r="L42" s="28">
        <v>7.06</v>
      </c>
      <c r="M42" s="28">
        <v>8.3699999999999992</v>
      </c>
      <c r="N42" s="36">
        <v>7.47</v>
      </c>
      <c r="O42" s="33">
        <f>AVERAGE(J42:N42)</f>
        <v>7.347999999999999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251</v>
      </c>
      <c r="K46" s="2" t="s">
        <v>252</v>
      </c>
      <c r="L46" s="2" t="s">
        <v>253</v>
      </c>
      <c r="M46" s="2" t="s">
        <v>254</v>
      </c>
      <c r="N46" s="2" t="s">
        <v>255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472</v>
      </c>
      <c r="K47" s="30">
        <v>570.97</v>
      </c>
      <c r="L47" s="30">
        <v>554.05999999999995</v>
      </c>
      <c r="M47" s="30">
        <v>733.04</v>
      </c>
      <c r="N47" s="31">
        <v>612.9</v>
      </c>
      <c r="O47" s="33">
        <f>AVERAGE(J47:N47)</f>
        <v>588.59399999999994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>
        <v>5.41</v>
      </c>
      <c r="K48" s="33">
        <v>5.64</v>
      </c>
      <c r="L48" s="33">
        <v>5.6</v>
      </c>
      <c r="M48" s="33">
        <v>6.58</v>
      </c>
      <c r="N48" s="34">
        <v>5.79</v>
      </c>
      <c r="O48" s="33">
        <f>AVERAGE(J48:N48)</f>
        <v>5.8039999999999994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>
        <v>26.78</v>
      </c>
      <c r="K49" s="33">
        <v>27.11</v>
      </c>
      <c r="L49" s="33">
        <v>30.7</v>
      </c>
      <c r="M49" s="33">
        <v>32.840000000000003</v>
      </c>
      <c r="N49" s="34">
        <v>31.16</v>
      </c>
      <c r="O49" s="33">
        <f>AVERAGE(J49:N49)</f>
        <v>29.718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7162.4700000105995</v>
      </c>
      <c r="K54" s="2">
        <f>SUM(K4:K50)</f>
        <v>7961.7100000099299</v>
      </c>
      <c r="L54" s="2">
        <f>SUM(L4:L50)</f>
        <v>8256.0800000098898</v>
      </c>
      <c r="M54" s="2">
        <f>SUM(M4:M50)</f>
        <v>77421.440000008719</v>
      </c>
      <c r="N54" s="2">
        <f>SUM(N4:N50)</f>
        <v>71487.590000009965</v>
      </c>
      <c r="O54" s="38">
        <f>AVERAGE(J54:N54)</f>
        <v>34457.858000009823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2.2288400509846991E-2</v>
      </c>
      <c r="K56" s="104">
        <f>SUM(K4:K18)/K54</f>
        <v>2.0234346641588186E-2</v>
      </c>
      <c r="L56" s="104">
        <f>SUM(L4:L18)/L54</f>
        <v>1.9652183602848525E-2</v>
      </c>
      <c r="M56" s="104">
        <f>SUM(M4:M18)/M54</f>
        <v>2.0362576567935476E-3</v>
      </c>
      <c r="N56" s="104">
        <f>SUM(N4:N18)/N54</f>
        <v>2.2580142931098606E-3</v>
      </c>
      <c r="O56" s="38">
        <f>AVERAGE(J56:N56)</f>
        <v>1.3293840540837421E-2</v>
      </c>
    </row>
    <row r="57" spans="4:16" x14ac:dyDescent="0.25">
      <c r="I57" s="107" t="s">
        <v>45</v>
      </c>
      <c r="J57" s="105">
        <f>J25/J54</f>
        <v>0.89147040057278437</v>
      </c>
      <c r="K57" s="105">
        <f t="shared" ref="K57:N57" si="0">K25/K54</f>
        <v>0.88886683890661344</v>
      </c>
      <c r="L57" s="105">
        <f t="shared" si="0"/>
        <v>0.89395572717211547</v>
      </c>
      <c r="M57" s="105">
        <f t="shared" si="0"/>
        <v>0.98624618710258305</v>
      </c>
      <c r="N57" s="105">
        <f t="shared" si="0"/>
        <v>0.98689296981462338</v>
      </c>
      <c r="O57" s="38">
        <f>AVERAGE(J57:N57)</f>
        <v>0.92948642471374399</v>
      </c>
    </row>
    <row r="58" spans="4:16" x14ac:dyDescent="0.25">
      <c r="I58" s="108" t="s">
        <v>46</v>
      </c>
      <c r="J58" s="102">
        <f>SUM(J38:J42)/J54</f>
        <v>1.5847884877679352E-2</v>
      </c>
      <c r="K58" s="102">
        <f>SUM(K38:K42)/K54</f>
        <v>1.5070883013806125E-2</v>
      </c>
      <c r="L58" s="102">
        <f>SUM(L38:L42)/L54</f>
        <v>1.4885999166656909E-2</v>
      </c>
      <c r="M58" s="102">
        <f>SUM(M38:M42)/M54</f>
        <v>1.7402156301921641E-3</v>
      </c>
      <c r="N58" s="102">
        <f>SUM(N38:N42)/N54</f>
        <v>1.7586269169233776E-3</v>
      </c>
      <c r="O58" s="38">
        <f>AVERAGE(J58:N58)</f>
        <v>9.8607219210515851E-3</v>
      </c>
    </row>
    <row r="59" spans="4:16" x14ac:dyDescent="0.25">
      <c r="I59" s="109" t="s">
        <v>1448</v>
      </c>
      <c r="J59" s="103">
        <f>SUM(J47:J49)/J54</f>
        <v>7.0393314038209434E-2</v>
      </c>
      <c r="K59" s="103">
        <f>SUM(K47:K49)/K54</f>
        <v>7.5827931436745002E-2</v>
      </c>
      <c r="L59" s="103">
        <f>SUM(L47:L49)/L54</f>
        <v>7.1506090057181226E-2</v>
      </c>
      <c r="M59" s="103">
        <f>SUM(M47:M49)/M54</f>
        <v>9.9773396103187053E-3</v>
      </c>
      <c r="N59" s="103">
        <f>SUM(N47:N49)/N54</f>
        <v>9.0903889752040785E-3</v>
      </c>
      <c r="O59" s="38">
        <f>AVERAGE(J59:N59)</f>
        <v>4.7359012823531693E-2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12.664134552450463</v>
      </c>
      <c r="K61" s="27">
        <f t="shared" ref="K61:N61" si="1">K57/K59</f>
        <v>11.722155966342012</v>
      </c>
      <c r="L61" s="27">
        <f t="shared" si="1"/>
        <v>12.501812453418255</v>
      </c>
      <c r="M61" s="27">
        <f t="shared" si="1"/>
        <v>98.848613520441191</v>
      </c>
      <c r="N61" s="27">
        <f t="shared" si="1"/>
        <v>108.56443794721861</v>
      </c>
      <c r="O61" s="38">
        <f>AVERAGE(J61:N61)</f>
        <v>48.860230887974105</v>
      </c>
    </row>
    <row r="62" spans="4:16" x14ac:dyDescent="0.25">
      <c r="I62" s="75"/>
    </row>
    <row r="63" spans="4:16" x14ac:dyDescent="0.25">
      <c r="I63" s="120" t="s">
        <v>1471</v>
      </c>
      <c r="J63" s="119">
        <v>957.63599999999997</v>
      </c>
      <c r="K63" s="119">
        <v>1103.54</v>
      </c>
      <c r="L63" s="119">
        <v>1095.29</v>
      </c>
      <c r="M63" s="119">
        <v>4429.57</v>
      </c>
      <c r="N63" s="119">
        <v>3948.06</v>
      </c>
      <c r="O63" s="38">
        <f>AVERAGE(J63:N63)</f>
        <v>2306.8191999999999</v>
      </c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25</v>
      </c>
      <c r="G67" s="54" t="s">
        <v>1466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05'!A1" display="Next"/>
    <hyperlink ref="B4" location="'c95'!A1" display="Prev"/>
    <hyperlink ref="B10:B11" location="'Index of Integers'!A116" display="Index of Integers"/>
    <hyperlink ref="B13:B14" location="'Index of Parameters'!N2" display="Index of Parameters"/>
    <hyperlink ref="B16:B17" location="'Index of Results'!N2" display="Index of Results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8"/>
  <sheetViews>
    <sheetView workbookViewId="0"/>
  </sheetViews>
  <sheetFormatPr defaultColWidth="8.85546875" defaultRowHeight="15" x14ac:dyDescent="0.25"/>
  <cols>
    <col min="1" max="1" width="2.570312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10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261</v>
      </c>
      <c r="K3" s="2" t="s">
        <v>262</v>
      </c>
      <c r="L3" s="2" t="s">
        <v>263</v>
      </c>
      <c r="M3" s="2" t="s">
        <v>264</v>
      </c>
      <c r="N3" s="2" t="s">
        <v>265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219.68</v>
      </c>
      <c r="K4" s="30">
        <v>222.98</v>
      </c>
      <c r="L4" s="30">
        <v>219.85</v>
      </c>
      <c r="M4" s="30">
        <v>220.01</v>
      </c>
      <c r="N4" s="31">
        <v>221.21</v>
      </c>
      <c r="O4" s="33">
        <f>AVERAGE(J4:N4)</f>
        <v>220.74600000000001</v>
      </c>
      <c r="P4" s="40"/>
      <c r="R4">
        <f>O4+O13</f>
        <v>369.99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21">
        <v>500000</v>
      </c>
      <c r="G7" s="21" t="s">
        <v>1370</v>
      </c>
      <c r="H7" s="21">
        <v>5000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256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50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>
        <v>1</v>
      </c>
      <c r="G13" s="20"/>
      <c r="H13" s="20"/>
      <c r="I13" s="10" t="s">
        <v>42</v>
      </c>
      <c r="J13" s="32">
        <v>108.69</v>
      </c>
      <c r="K13" s="33">
        <v>308.11</v>
      </c>
      <c r="L13" s="33">
        <v>110.54</v>
      </c>
      <c r="M13" s="33">
        <v>109.6</v>
      </c>
      <c r="N13" s="34">
        <v>109.28</v>
      </c>
      <c r="O13" s="33">
        <f>AVERAGE(J13:N13)</f>
        <v>149.244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0.97</v>
      </c>
      <c r="K15" s="33">
        <v>0.98</v>
      </c>
      <c r="L15" s="33">
        <v>0.96</v>
      </c>
      <c r="M15" s="33">
        <v>0.97</v>
      </c>
      <c r="N15" s="34">
        <v>0.98</v>
      </c>
      <c r="O15" s="33">
        <f>AVERAGE(J15:N15)</f>
        <v>0.97199999999999986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12.07</v>
      </c>
      <c r="K17" s="33">
        <v>12.13</v>
      </c>
      <c r="L17" s="33">
        <v>12.08</v>
      </c>
      <c r="M17" s="33">
        <v>12.09</v>
      </c>
      <c r="N17" s="34">
        <v>12.06</v>
      </c>
      <c r="O17" s="33">
        <f>AVERAGE(J17:N17)</f>
        <v>12.086000000000002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4.5100000000000003E-9</v>
      </c>
      <c r="K21" s="110">
        <v>4.1100000000000001E-9</v>
      </c>
      <c r="L21" s="110">
        <v>4.7500000000000003E-9</v>
      </c>
      <c r="M21" s="110">
        <v>4.0899999999999997E-9</v>
      </c>
      <c r="N21" s="110">
        <v>5.1799999999999999E-9</v>
      </c>
      <c r="O21" s="38">
        <f>AVERAGE(J21:N21)</f>
        <v>4.5280000000000001E-9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261</v>
      </c>
      <c r="K24" s="2" t="s">
        <v>262</v>
      </c>
      <c r="L24" s="2" t="s">
        <v>263</v>
      </c>
      <c r="M24" s="2" t="s">
        <v>264</v>
      </c>
      <c r="N24" s="2" t="s">
        <v>265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137139</v>
      </c>
      <c r="K25" s="30">
        <v>169752</v>
      </c>
      <c r="L25" s="30">
        <v>13488.8</v>
      </c>
      <c r="M25" s="30">
        <v>15635.7</v>
      </c>
      <c r="N25" s="31">
        <v>13978.8</v>
      </c>
      <c r="O25" s="33">
        <f>AVERAGE(J25:N25)</f>
        <v>69998.86</v>
      </c>
      <c r="P25" s="40"/>
    </row>
    <row r="26" spans="2:16" x14ac:dyDescent="0.25">
      <c r="D26" s="142"/>
      <c r="E26" s="5" t="s">
        <v>1376</v>
      </c>
      <c r="F26" s="5">
        <v>47</v>
      </c>
      <c r="G26" s="5" t="s">
        <v>1384</v>
      </c>
      <c r="H26" s="5">
        <v>1536958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52</v>
      </c>
      <c r="G27" s="5" t="s">
        <v>1383</v>
      </c>
      <c r="H27" s="5">
        <v>5000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14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4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11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261</v>
      </c>
      <c r="K37" s="2" t="s">
        <v>262</v>
      </c>
      <c r="L37" s="2" t="s">
        <v>263</v>
      </c>
      <c r="M37" s="2" t="s">
        <v>264</v>
      </c>
      <c r="N37" s="2" t="s">
        <v>265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5.1100000000000003</v>
      </c>
      <c r="K38" s="30">
        <v>5.53</v>
      </c>
      <c r="L38" s="30">
        <v>4.84</v>
      </c>
      <c r="M38" s="30">
        <v>5.05</v>
      </c>
      <c r="N38" s="31">
        <v>4.99</v>
      </c>
      <c r="O38" s="33">
        <f>AVERAGE(J38:N38)</f>
        <v>5.104000000000001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>
        <v>29.16</v>
      </c>
      <c r="K39" s="33">
        <v>29.63</v>
      </c>
      <c r="L39" s="33">
        <v>27.07</v>
      </c>
      <c r="M39" s="33">
        <v>26.72</v>
      </c>
      <c r="N39" s="34">
        <v>26.52</v>
      </c>
      <c r="O39" s="33">
        <f>AVERAGE(J39:N39)</f>
        <v>27.82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24.67</v>
      </c>
      <c r="K40" s="33">
        <v>24.26</v>
      </c>
      <c r="L40" s="33">
        <v>20.87</v>
      </c>
      <c r="M40" s="33">
        <v>21</v>
      </c>
      <c r="N40" s="34">
        <v>20.86</v>
      </c>
      <c r="O40" s="33">
        <f>AVERAGE(J40:N40)</f>
        <v>22.332000000000001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>
        <v>111.6</v>
      </c>
      <c r="K41" s="33">
        <v>121.91</v>
      </c>
      <c r="L41" s="33">
        <v>111.96</v>
      </c>
      <c r="M41" s="33">
        <v>115.9</v>
      </c>
      <c r="N41" s="34">
        <v>114.06</v>
      </c>
      <c r="O41" s="33">
        <f>AVERAGE(J41:N41)</f>
        <v>115.08600000000001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>
        <v>24.67</v>
      </c>
      <c r="K42" s="28">
        <v>11.84</v>
      </c>
      <c r="L42" s="28">
        <v>10.78</v>
      </c>
      <c r="M42" s="28">
        <v>11.24</v>
      </c>
      <c r="N42" s="36">
        <v>10.89</v>
      </c>
      <c r="O42" s="33">
        <f>AVERAGE(J42:N42)</f>
        <v>13.884000000000004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261</v>
      </c>
      <c r="K46" s="2" t="s">
        <v>262</v>
      </c>
      <c r="L46" s="2" t="s">
        <v>263</v>
      </c>
      <c r="M46" s="2" t="s">
        <v>264</v>
      </c>
      <c r="N46" s="2" t="s">
        <v>265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1189.26</v>
      </c>
      <c r="K47" s="30">
        <v>1532.43</v>
      </c>
      <c r="L47" s="30">
        <v>1217.48</v>
      </c>
      <c r="M47" s="30">
        <v>1249.6500000000001</v>
      </c>
      <c r="N47" s="31">
        <v>1203.48</v>
      </c>
      <c r="O47" s="33">
        <f>AVERAGE(J47:N47)</f>
        <v>1278.4599999999998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>
        <v>8.19</v>
      </c>
      <c r="K48" s="33">
        <v>8.84</v>
      </c>
      <c r="L48" s="33">
        <v>8.36</v>
      </c>
      <c r="M48" s="33">
        <v>8.5</v>
      </c>
      <c r="N48" s="34">
        <v>8.4499999999999993</v>
      </c>
      <c r="O48" s="33">
        <f>AVERAGE(J48:N48)</f>
        <v>8.468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>
        <v>47.11</v>
      </c>
      <c r="K49" s="33">
        <v>53.35</v>
      </c>
      <c r="L49" s="33">
        <v>45.38</v>
      </c>
      <c r="M49" s="33">
        <v>48.32</v>
      </c>
      <c r="N49" s="34">
        <v>45.82</v>
      </c>
      <c r="O49" s="33">
        <f>AVERAGE(J49:N49)</f>
        <v>47.995999999999995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138920.18000000453</v>
      </c>
      <c r="K54" s="2">
        <f>SUM(K4:K50)</f>
        <v>172083.99000000412</v>
      </c>
      <c r="L54" s="2">
        <f>SUM(L4:L50)</f>
        <v>15278.970000004749</v>
      </c>
      <c r="M54" s="2">
        <f>SUM(M4:M50)</f>
        <v>17464.750000004089</v>
      </c>
      <c r="N54" s="2">
        <f>SUM(N4:N50)</f>
        <v>15757.400000005178</v>
      </c>
      <c r="O54" s="38">
        <f>AVERAGE(J54:N54)</f>
        <v>71901.05800000453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2.45759831293041E-3</v>
      </c>
      <c r="K56" s="104">
        <f>SUM(K4:K18)/K54</f>
        <v>3.1624092398135758E-3</v>
      </c>
      <c r="L56" s="104">
        <f>SUM(L4:L18)/L54</f>
        <v>2.2477300498652278E-2</v>
      </c>
      <c r="M56" s="104">
        <f>SUM(M4:M18)/M54</f>
        <v>1.9620664481307764E-2</v>
      </c>
      <c r="N56" s="104">
        <f>SUM(N4:N18)/N54</f>
        <v>2.1801185474753904E-2</v>
      </c>
      <c r="O56" s="38">
        <f>AVERAGE(J56:N56)</f>
        <v>1.3903831601491588E-2</v>
      </c>
    </row>
    <row r="57" spans="4:16" x14ac:dyDescent="0.25">
      <c r="I57" s="107" t="s">
        <v>45</v>
      </c>
      <c r="J57" s="105">
        <f>J25/J54</f>
        <v>0.98717839265681573</v>
      </c>
      <c r="K57" s="105">
        <f t="shared" ref="K57:N57" si="0">K25/K54</f>
        <v>0.98644853597360183</v>
      </c>
      <c r="L57" s="105">
        <f t="shared" si="0"/>
        <v>0.88283437954232558</v>
      </c>
      <c r="M57" s="105">
        <f t="shared" si="0"/>
        <v>0.89527190483667618</v>
      </c>
      <c r="N57" s="105">
        <f t="shared" si="0"/>
        <v>0.88712604871332867</v>
      </c>
      <c r="O57" s="38">
        <f>AVERAGE(J57:N57)</f>
        <v>0.92777185234454973</v>
      </c>
    </row>
    <row r="58" spans="4:16" x14ac:dyDescent="0.25">
      <c r="I58" s="108" t="s">
        <v>46</v>
      </c>
      <c r="J58" s="102">
        <f>SUM(J38:J42)/J54</f>
        <v>1.405195415093715E-3</v>
      </c>
      <c r="K58" s="102">
        <f>SUM(K38:K42)/K54</f>
        <v>1.1225332467011914E-3</v>
      </c>
      <c r="L58" s="102">
        <f>SUM(L38:L42)/L54</f>
        <v>1.1487685360986079E-2</v>
      </c>
      <c r="M58" s="102">
        <f>SUM(M38:M42)/M54</f>
        <v>1.0301321232766452E-2</v>
      </c>
      <c r="N58" s="102">
        <f>SUM(N38:N42)/N54</f>
        <v>1.1253125515627052E-2</v>
      </c>
      <c r="O58" s="38">
        <f>AVERAGE(J58:N58)</f>
        <v>7.1139721542348971E-3</v>
      </c>
    </row>
    <row r="59" spans="4:16" x14ac:dyDescent="0.25">
      <c r="I59" s="109" t="s">
        <v>1448</v>
      </c>
      <c r="J59" s="103">
        <f>SUM(J47:J49)/J54</f>
        <v>8.9588136151274728E-3</v>
      </c>
      <c r="K59" s="103">
        <f>SUM(K47:K49)/K54</f>
        <v>9.2665215398594694E-3</v>
      </c>
      <c r="L59" s="103">
        <f>SUM(L47:L49)/L54</f>
        <v>8.320063459772517E-2</v>
      </c>
      <c r="M59" s="103">
        <f>SUM(M47:M49)/M54</f>
        <v>7.4806109449015543E-2</v>
      </c>
      <c r="N59" s="103">
        <f>SUM(N47:N49)/N54</f>
        <v>7.9819640295961683E-2</v>
      </c>
      <c r="O59" s="38">
        <f>AVERAGE(J59:N59)</f>
        <v>5.1210343899537866E-2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110.19075014462943</v>
      </c>
      <c r="K61" s="27">
        <f t="shared" ref="K61:N61" si="1">K57/K59</f>
        <v>106.45294803777705</v>
      </c>
      <c r="L61" s="27">
        <f t="shared" si="1"/>
        <v>10.61090920533031</v>
      </c>
      <c r="M61" s="27">
        <f t="shared" si="1"/>
        <v>11.967898229580472</v>
      </c>
      <c r="N61" s="27">
        <f t="shared" si="1"/>
        <v>11.114132379248659</v>
      </c>
      <c r="O61" s="38">
        <f>AVERAGE(J61:N61)</f>
        <v>50.067327599313181</v>
      </c>
    </row>
    <row r="62" spans="4:16" x14ac:dyDescent="0.25">
      <c r="I62" s="75"/>
    </row>
    <row r="63" spans="4:16" x14ac:dyDescent="0.25">
      <c r="I63" s="120" t="s">
        <v>1471</v>
      </c>
      <c r="J63" s="119">
        <v>7138.08</v>
      </c>
      <c r="K63" s="119">
        <v>8843.64</v>
      </c>
      <c r="L63" s="119">
        <v>2032.16</v>
      </c>
      <c r="M63" s="119">
        <v>2159.2199999999998</v>
      </c>
      <c r="N63" s="119">
        <v>2055.15</v>
      </c>
      <c r="O63" s="38">
        <f>AVERAGE(J63:N63)</f>
        <v>4445.6500000000005</v>
      </c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25</v>
      </c>
      <c r="G67" s="54" t="s">
        <v>1466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10'!A1" display="Next"/>
    <hyperlink ref="B4" location="'c100'!A1" display="Prev"/>
    <hyperlink ref="B10:B11" location="'Index of Integers'!A127" display="Index of Integers"/>
    <hyperlink ref="B13:B14" location="'Index of Parameters'!O2" display="Index of Parameters"/>
    <hyperlink ref="B16:B17" location="'Index of Results'!O2" display="Index of Results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8" x14ac:dyDescent="0.25">
      <c r="B2" s="56" t="s">
        <v>11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8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281</v>
      </c>
      <c r="K3" s="2" t="s">
        <v>282</v>
      </c>
      <c r="L3" s="2" t="s">
        <v>283</v>
      </c>
      <c r="M3" s="2" t="s">
        <v>284</v>
      </c>
      <c r="N3" s="2" t="s">
        <v>285</v>
      </c>
      <c r="O3" s="28" t="s">
        <v>1454</v>
      </c>
      <c r="P3" s="40"/>
    </row>
    <row r="4" spans="2:18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1107.02</v>
      </c>
      <c r="K4" s="30">
        <v>1121.1099999999999</v>
      </c>
      <c r="L4" s="30">
        <v>1108.8900000000001</v>
      </c>
      <c r="M4" s="30">
        <v>1127.3</v>
      </c>
      <c r="N4" s="31">
        <v>1116.47</v>
      </c>
      <c r="O4" s="33">
        <f>AVERAGE(J4:N4)</f>
        <v>1116.1580000000001</v>
      </c>
      <c r="P4" s="40"/>
      <c r="R4">
        <f>O4+O13</f>
        <v>1463.864</v>
      </c>
    </row>
    <row r="5" spans="2:18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8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8" x14ac:dyDescent="0.25">
      <c r="B7" s="54"/>
      <c r="D7" s="141"/>
      <c r="E7" s="21" t="s">
        <v>1369</v>
      </c>
      <c r="F7" s="21">
        <v>500000</v>
      </c>
      <c r="G7" s="21" t="s">
        <v>1370</v>
      </c>
      <c r="H7" s="21">
        <v>5000</v>
      </c>
      <c r="I7" s="10"/>
      <c r="J7" s="43"/>
      <c r="K7" s="44"/>
      <c r="L7" s="44"/>
      <c r="M7" s="44"/>
      <c r="N7" s="45"/>
      <c r="O7" s="44"/>
      <c r="P7" s="40"/>
    </row>
    <row r="8" spans="2:18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8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8" x14ac:dyDescent="0.25">
      <c r="B10" s="140" t="s">
        <v>56</v>
      </c>
      <c r="D10" s="141"/>
      <c r="E10" s="20" t="s">
        <v>1371</v>
      </c>
      <c r="F10" s="20">
        <v>625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8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8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8" x14ac:dyDescent="0.25">
      <c r="B13" s="139" t="s">
        <v>1447</v>
      </c>
      <c r="D13" s="141"/>
      <c r="E13" s="20" t="s">
        <v>1398</v>
      </c>
      <c r="F13" s="20">
        <v>1</v>
      </c>
      <c r="G13" s="20"/>
      <c r="H13" s="20"/>
      <c r="I13" s="10" t="s">
        <v>42</v>
      </c>
      <c r="J13" s="32">
        <v>365.63</v>
      </c>
      <c r="K13" s="33">
        <v>344.93</v>
      </c>
      <c r="L13" s="33">
        <v>361.77</v>
      </c>
      <c r="M13" s="33">
        <v>321.52</v>
      </c>
      <c r="N13" s="34">
        <v>344.68</v>
      </c>
      <c r="O13" s="33">
        <f>AVERAGE(J13:N13)</f>
        <v>347.70600000000002</v>
      </c>
      <c r="P13" s="40"/>
    </row>
    <row r="14" spans="2:18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8" x14ac:dyDescent="0.25">
      <c r="B15" s="54"/>
      <c r="D15" s="141"/>
      <c r="E15" s="20"/>
      <c r="F15" s="20"/>
      <c r="G15" s="20"/>
      <c r="H15" s="20"/>
      <c r="I15" s="10" t="s">
        <v>43</v>
      </c>
      <c r="J15" s="32">
        <v>3.65</v>
      </c>
      <c r="K15" s="33">
        <v>3.69</v>
      </c>
      <c r="L15" s="33">
        <v>3.65</v>
      </c>
      <c r="M15" s="33">
        <v>3.68</v>
      </c>
      <c r="N15" s="34">
        <v>3.63</v>
      </c>
      <c r="O15" s="33">
        <f>AVERAGE(J15:N15)</f>
        <v>3.66</v>
      </c>
      <c r="P15" s="40"/>
    </row>
    <row r="16" spans="2:18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>
        <v>31.88</v>
      </c>
      <c r="K17" s="33">
        <v>31.87</v>
      </c>
      <c r="L17" s="33">
        <v>31.98</v>
      </c>
      <c r="M17" s="33">
        <v>32.119999999999997</v>
      </c>
      <c r="N17" s="34">
        <v>31.75</v>
      </c>
      <c r="O17" s="33">
        <f>AVERAGE(J17:N17)</f>
        <v>31.919999999999998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4.9399999999999999E-9</v>
      </c>
      <c r="K21" s="110">
        <v>5.1000000000000002E-9</v>
      </c>
      <c r="L21" s="110">
        <v>5.2499999999999999E-9</v>
      </c>
      <c r="M21" s="110">
        <v>4.9300000000000001E-9</v>
      </c>
      <c r="N21" s="110">
        <v>4.8200000000000003E-9</v>
      </c>
      <c r="O21" s="38">
        <f>AVERAGE(J21:N21)</f>
        <v>5.0079999999999992E-9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8" t="s">
        <v>65</v>
      </c>
      <c r="K24" s="28" t="s">
        <v>75</v>
      </c>
      <c r="L24" s="28" t="s">
        <v>76</v>
      </c>
      <c r="M24" s="28" t="s">
        <v>77</v>
      </c>
      <c r="N24" s="28" t="s">
        <v>78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>
        <v>28310.9</v>
      </c>
      <c r="K25" s="30">
        <v>23986.3</v>
      </c>
      <c r="L25" s="30">
        <v>27185.1</v>
      </c>
      <c r="M25" s="30">
        <v>26488.5</v>
      </c>
      <c r="N25" s="31">
        <v>26758.2</v>
      </c>
      <c r="O25" s="33">
        <f>AVERAGE(J25:N25)</f>
        <v>26545.8</v>
      </c>
      <c r="P25" s="40"/>
    </row>
    <row r="26" spans="2:16" x14ac:dyDescent="0.25">
      <c r="D26" s="142"/>
      <c r="E26" s="5" t="s">
        <v>1376</v>
      </c>
      <c r="F26" s="5">
        <v>55</v>
      </c>
      <c r="G26" s="5" t="s">
        <v>1384</v>
      </c>
      <c r="H26" s="5">
        <v>971708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51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10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17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12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8" t="s">
        <v>65</v>
      </c>
      <c r="K37" s="28" t="s">
        <v>75</v>
      </c>
      <c r="L37" s="28" t="s">
        <v>76</v>
      </c>
      <c r="M37" s="28" t="s">
        <v>77</v>
      </c>
      <c r="N37" s="28" t="s">
        <v>78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>
        <v>8.44</v>
      </c>
      <c r="K38" s="30">
        <v>8.1300000000000008</v>
      </c>
      <c r="L38" s="30">
        <v>8.3000000000000007</v>
      </c>
      <c r="M38" s="30">
        <v>8.2100000000000009</v>
      </c>
      <c r="N38" s="31">
        <v>8.39</v>
      </c>
      <c r="O38" s="33">
        <f>AVERAGE(J38:N38)</f>
        <v>8.2940000000000005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>
        <v>49.25</v>
      </c>
      <c r="K39" s="33">
        <v>38.53</v>
      </c>
      <c r="L39" s="33">
        <v>39.74</v>
      </c>
      <c r="M39" s="33">
        <v>39.04</v>
      </c>
      <c r="N39" s="34">
        <v>40.21</v>
      </c>
      <c r="O39" s="33">
        <f>AVERAGE(J39:N39)</f>
        <v>41.353999999999999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>
        <v>36.71</v>
      </c>
      <c r="K40" s="33">
        <v>25.88</v>
      </c>
      <c r="L40" s="33">
        <v>24.14</v>
      </c>
      <c r="M40" s="33">
        <v>22.79</v>
      </c>
      <c r="N40" s="34">
        <v>27.76</v>
      </c>
      <c r="O40" s="33">
        <f>AVERAGE(J40:N40)</f>
        <v>27.456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>
        <v>149.61000000000001</v>
      </c>
      <c r="K41" s="33">
        <v>129.69</v>
      </c>
      <c r="L41" s="33">
        <v>148.5</v>
      </c>
      <c r="M41" s="33">
        <v>154.72</v>
      </c>
      <c r="N41" s="34">
        <v>126.66</v>
      </c>
      <c r="O41" s="33">
        <f>AVERAGE(J41:N41)</f>
        <v>141.83599999999998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>
        <v>15.2</v>
      </c>
      <c r="K42" s="28">
        <v>13.34</v>
      </c>
      <c r="L42" s="28">
        <v>15.13</v>
      </c>
      <c r="M42" s="28">
        <v>15.56</v>
      </c>
      <c r="N42" s="36">
        <v>13.35</v>
      </c>
      <c r="O42" s="33">
        <f>AVERAGE(J42:N42)</f>
        <v>14.516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8" t="s">
        <v>65</v>
      </c>
      <c r="K46" s="28" t="s">
        <v>75</v>
      </c>
      <c r="L46" s="28" t="s">
        <v>76</v>
      </c>
      <c r="M46" s="28" t="s">
        <v>77</v>
      </c>
      <c r="N46" s="28" t="s">
        <v>78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>
        <v>2275.19</v>
      </c>
      <c r="K47" s="30">
        <v>1551.45</v>
      </c>
      <c r="L47" s="30">
        <v>2066.71</v>
      </c>
      <c r="M47" s="30">
        <v>2325.4299999999998</v>
      </c>
      <c r="N47" s="31">
        <v>1762.61</v>
      </c>
      <c r="O47" s="33">
        <f>AVERAGE(J47:N47)</f>
        <v>1996.2780000000002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>
        <v>12.23</v>
      </c>
      <c r="K48" s="33">
        <v>10.84</v>
      </c>
      <c r="L48" s="33">
        <v>12.3</v>
      </c>
      <c r="M48" s="33">
        <v>12.46</v>
      </c>
      <c r="N48" s="34">
        <v>10.89</v>
      </c>
      <c r="O48" s="33">
        <f>AVERAGE(J48:N48)</f>
        <v>11.744000000000002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>
        <v>90.24</v>
      </c>
      <c r="K49" s="33">
        <v>77.31</v>
      </c>
      <c r="L49" s="33">
        <v>80.59</v>
      </c>
      <c r="M49" s="33">
        <v>81.739999999999995</v>
      </c>
      <c r="N49" s="34">
        <v>258.83999999999997</v>
      </c>
      <c r="O49" s="33">
        <f>AVERAGE(J49:N49)</f>
        <v>117.744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32455.950000004941</v>
      </c>
      <c r="K54" s="2">
        <f>SUM(K4:K50)</f>
        <v>27343.0700000051</v>
      </c>
      <c r="L54" s="2">
        <f>SUM(L4:L50)</f>
        <v>31086.800000005249</v>
      </c>
      <c r="M54" s="2">
        <f>SUM(M4:M50)</f>
        <v>30633.070000004933</v>
      </c>
      <c r="N54" s="2">
        <f>SUM(N4:N50)</f>
        <v>30503.440000004815</v>
      </c>
      <c r="O54" s="38">
        <f>AVERAGE(J54:N54)</f>
        <v>30404.466000005003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4.6468521180238774E-2</v>
      </c>
      <c r="K56" s="104">
        <f>SUM(K4:K18)/K54</f>
        <v>5.4917022850752305E-2</v>
      </c>
      <c r="L56" s="104">
        <f>SUM(L4:L18)/L54</f>
        <v>4.8454327881922422E-2</v>
      </c>
      <c r="M56" s="104">
        <f>SUM(M4:M18)/M54</f>
        <v>4.8464616834021562E-2</v>
      </c>
      <c r="N56" s="104">
        <f>SUM(N4:N18)/N54</f>
        <v>4.9061023936964619E-2</v>
      </c>
      <c r="O56" s="38">
        <f>AVERAGE(J56:N56)</f>
        <v>4.9473102536779938E-2</v>
      </c>
    </row>
    <row r="57" spans="4:16" x14ac:dyDescent="0.25">
      <c r="I57" s="107" t="s">
        <v>45</v>
      </c>
      <c r="J57" s="105">
        <f>J25/J54</f>
        <v>0.87228689962844075</v>
      </c>
      <c r="K57" s="105">
        <f t="shared" ref="K57:N57" si="0">K25/K54</f>
        <v>0.87723507272575918</v>
      </c>
      <c r="L57" s="105">
        <f t="shared" si="0"/>
        <v>0.8744901372928513</v>
      </c>
      <c r="M57" s="105">
        <f t="shared" si="0"/>
        <v>0.86470275424551746</v>
      </c>
      <c r="N57" s="105">
        <f t="shared" si="0"/>
        <v>0.87721909397745879</v>
      </c>
      <c r="O57" s="38">
        <f>AVERAGE(J57:N57)</f>
        <v>0.87318679157400536</v>
      </c>
    </row>
    <row r="58" spans="4:16" x14ac:dyDescent="0.25">
      <c r="I58" s="108" t="s">
        <v>46</v>
      </c>
      <c r="J58" s="102">
        <f>SUM(J38:J42)/J54</f>
        <v>7.9865171101126467E-3</v>
      </c>
      <c r="K58" s="102">
        <f>SUM(K38:K42)/K54</f>
        <v>7.8838989184447771E-3</v>
      </c>
      <c r="L58" s="102">
        <f>SUM(L38:L42)/L54</f>
        <v>7.5855346963971905E-3</v>
      </c>
      <c r="M58" s="102">
        <f>SUM(M38:M42)/M54</f>
        <v>7.8451164052431334E-3</v>
      </c>
      <c r="N58" s="102">
        <f>SUM(N38:N42)/N54</f>
        <v>7.0932983296298985E-3</v>
      </c>
      <c r="O58" s="38">
        <f>AVERAGE(J58:N58)</f>
        <v>7.6788730919655299E-3</v>
      </c>
    </row>
    <row r="59" spans="4:16" x14ac:dyDescent="0.25">
      <c r="I59" s="109" t="s">
        <v>1448</v>
      </c>
      <c r="J59" s="103">
        <f>SUM(J47:J49)/J54</f>
        <v>7.3258062081055647E-2</v>
      </c>
      <c r="K59" s="103">
        <f>SUM(K47:K49)/K54</f>
        <v>5.9964005504857136E-2</v>
      </c>
      <c r="L59" s="103">
        <f>SUM(L47:L49)/L54</f>
        <v>6.9470000128660253E-2</v>
      </c>
      <c r="M59" s="103">
        <f>SUM(M47:M49)/M54</f>
        <v>7.8987512515056771E-2</v>
      </c>
      <c r="N59" s="103">
        <f>SUM(N47:N49)/N54</f>
        <v>6.6626583755788824E-2</v>
      </c>
      <c r="O59" s="38">
        <f>AVERAGE(J59:N59)</f>
        <v>6.9661232797083722E-2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>
        <f>J57/J59</f>
        <v>11.907043059142183</v>
      </c>
      <c r="K61" s="27">
        <f t="shared" ref="K61:N61" si="1">K57/K59</f>
        <v>14.629360819712126</v>
      </c>
      <c r="L61" s="27">
        <f t="shared" si="1"/>
        <v>12.588025560288941</v>
      </c>
      <c r="M61" s="27">
        <f t="shared" si="1"/>
        <v>10.947334923108079</v>
      </c>
      <c r="N61" s="27">
        <f t="shared" si="1"/>
        <v>13.166202505486288</v>
      </c>
      <c r="O61" s="38">
        <f>AVERAGE(J61:N61)</f>
        <v>12.647593373547524</v>
      </c>
    </row>
    <row r="62" spans="4:16" x14ac:dyDescent="0.25">
      <c r="I62" s="75"/>
    </row>
    <row r="63" spans="4:16" x14ac:dyDescent="0.25">
      <c r="I63" s="120" t="s">
        <v>1471</v>
      </c>
      <c r="J63" s="119">
        <v>3511.03</v>
      </c>
      <c r="K63" s="119">
        <v>2603.63</v>
      </c>
      <c r="L63" s="119">
        <v>3244.02</v>
      </c>
      <c r="M63" s="119">
        <v>3531.11</v>
      </c>
      <c r="N63" s="119">
        <v>2984.06</v>
      </c>
      <c r="O63" s="38">
        <f>AVERAGE(J63:N63)</f>
        <v>3174.77</v>
      </c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15'!A1" display="Next"/>
    <hyperlink ref="B4" location="'c105'!A1" display="Prev"/>
    <hyperlink ref="B10:B11" location="'Index of Integers'!A138" display="Index of Integers"/>
    <hyperlink ref="B13:B14" location="'Index of Parameters'!P2" display="Index of Parameters"/>
    <hyperlink ref="B16:B17" location="'Index of Results'!P2" display="Index of Results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12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291</v>
      </c>
      <c r="K3" s="2" t="s">
        <v>292</v>
      </c>
      <c r="L3" s="2" t="s">
        <v>293</v>
      </c>
      <c r="M3" s="2" t="s">
        <v>294</v>
      </c>
      <c r="N3" s="2" t="s">
        <v>295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1103.8699999999999</v>
      </c>
      <c r="K4" s="30">
        <v>1104.3</v>
      </c>
      <c r="L4" s="30">
        <v>1104.6099999999999</v>
      </c>
      <c r="M4" s="30">
        <v>1102.8399999999999</v>
      </c>
      <c r="N4" s="31">
        <v>1105.23</v>
      </c>
      <c r="O4" s="33">
        <f>AVERAGE(J4:N4)</f>
        <v>1104.17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</v>
      </c>
      <c r="G7" s="21" t="s">
        <v>1370</v>
      </c>
      <c r="H7" s="21">
        <v>10000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625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4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</v>
      </c>
      <c r="G13" s="20"/>
      <c r="H13" s="20"/>
      <c r="I13" s="10" t="s">
        <v>42</v>
      </c>
      <c r="J13" s="32">
        <v>220.29</v>
      </c>
      <c r="K13" s="33">
        <v>224.77</v>
      </c>
      <c r="L13" s="33">
        <v>224.64</v>
      </c>
      <c r="M13" s="33">
        <v>218.37</v>
      </c>
      <c r="N13" s="34">
        <v>220.48</v>
      </c>
      <c r="O13" s="33">
        <f>AVERAGE(J13:N13)</f>
        <v>221.70999999999998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2.11E-9</v>
      </c>
      <c r="K21" s="110">
        <v>2.0700000000000001E-9</v>
      </c>
      <c r="L21" s="110">
        <v>2.09E-9</v>
      </c>
      <c r="M21" s="110">
        <v>2.0000000000000001E-9</v>
      </c>
      <c r="N21" s="110">
        <v>2.1200000000000001E-9</v>
      </c>
      <c r="O21" s="38">
        <f>AVERAGE(J21:N21)</f>
        <v>2.0780000000000001E-9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291</v>
      </c>
      <c r="K24" s="2" t="s">
        <v>292</v>
      </c>
      <c r="L24" s="2" t="s">
        <v>293</v>
      </c>
      <c r="M24" s="2" t="s">
        <v>294</v>
      </c>
      <c r="N24" s="2" t="s">
        <v>295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67</v>
      </c>
      <c r="G26" s="5" t="s">
        <v>1384</v>
      </c>
      <c r="H26" s="5">
        <v>2500740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51</v>
      </c>
      <c r="G27" s="5" t="s">
        <v>1383</v>
      </c>
      <c r="H27" s="5">
        <v>2000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8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11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13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291</v>
      </c>
      <c r="K37" s="2" t="s">
        <v>292</v>
      </c>
      <c r="L37" s="2" t="s">
        <v>293</v>
      </c>
      <c r="M37" s="2" t="s">
        <v>294</v>
      </c>
      <c r="N37" s="2" t="s">
        <v>295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20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291</v>
      </c>
      <c r="K46" s="2" t="s">
        <v>292</v>
      </c>
      <c r="L46" s="2" t="s">
        <v>293</v>
      </c>
      <c r="M46" s="2" t="s">
        <v>294</v>
      </c>
      <c r="N46" s="2" t="s">
        <v>295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1324.1600000021099</v>
      </c>
      <c r="K54" s="2">
        <f>SUM(K4:K50)</f>
        <v>1329.0700000020699</v>
      </c>
      <c r="L54" s="2">
        <f>SUM(L4:L50)</f>
        <v>1329.25000000209</v>
      </c>
      <c r="M54" s="2">
        <f>SUM(M4:M50)</f>
        <v>1321.210000002</v>
      </c>
      <c r="N54" s="2">
        <f>SUM(N4:N50)</f>
        <v>1325.7100000021201</v>
      </c>
      <c r="O54" s="38">
        <f>AVERAGE(J54:N54)</f>
        <v>1325.8800000020778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0.9999999999984065</v>
      </c>
      <c r="K56" s="104">
        <f>SUM(K4:K18)/K54</f>
        <v>0.99999999999844247</v>
      </c>
      <c r="L56" s="104">
        <f>SUM(L4:L18)/L54</f>
        <v>0.9999999999984277</v>
      </c>
      <c r="M56" s="104">
        <f>SUM(M4:M18)/M54</f>
        <v>0.99999999999848621</v>
      </c>
      <c r="N56" s="104">
        <f>SUM(N4:N18)/N54</f>
        <v>0.99999999999840083</v>
      </c>
      <c r="O56" s="38">
        <f>AVERAGE(J56:N56)</f>
        <v>0.9999999999984327</v>
      </c>
    </row>
    <row r="57" spans="4:16" x14ac:dyDescent="0.25">
      <c r="I57" s="107" t="s">
        <v>45</v>
      </c>
      <c r="J57" s="105">
        <f>J25/J54</f>
        <v>0</v>
      </c>
      <c r="K57" s="105">
        <f t="shared" ref="K57:N57" si="0">K25/K54</f>
        <v>0</v>
      </c>
      <c r="L57" s="105">
        <f t="shared" si="0"/>
        <v>0</v>
      </c>
      <c r="M57" s="105">
        <f t="shared" si="0"/>
        <v>0</v>
      </c>
      <c r="N57" s="105">
        <f t="shared" si="0"/>
        <v>0</v>
      </c>
      <c r="O57" s="38">
        <f>AVERAGE(J57:N57)</f>
        <v>0</v>
      </c>
    </row>
    <row r="58" spans="4:16" x14ac:dyDescent="0.25">
      <c r="I58" s="108" t="s">
        <v>46</v>
      </c>
      <c r="J58" s="102">
        <f>SUM(J38:J42)/J54</f>
        <v>0</v>
      </c>
      <c r="K58" s="102">
        <f>SUM(K38:K42)/K54</f>
        <v>0</v>
      </c>
      <c r="L58" s="102">
        <f>SUM(L38:L42)/L54</f>
        <v>0</v>
      </c>
      <c r="M58" s="102">
        <f>SUM(M38:M42)/M54</f>
        <v>0</v>
      </c>
      <c r="N58" s="102">
        <f>SUM(N38:N42)/N54</f>
        <v>0</v>
      </c>
      <c r="O58" s="38">
        <f>AVERAGE(J58:N58)</f>
        <v>0</v>
      </c>
    </row>
    <row r="59" spans="4:16" x14ac:dyDescent="0.25">
      <c r="I59" s="109" t="s">
        <v>1448</v>
      </c>
      <c r="J59" s="103">
        <f>SUM(J47:J49)/J54</f>
        <v>0</v>
      </c>
      <c r="K59" s="103">
        <f>SUM(K47:K49)/K54</f>
        <v>0</v>
      </c>
      <c r="L59" s="103">
        <f>SUM(L47:L49)/L54</f>
        <v>0</v>
      </c>
      <c r="M59" s="103">
        <f>SUM(M47:M49)/M54</f>
        <v>0</v>
      </c>
      <c r="N59" s="103">
        <f>SUM(N47:N49)/N54</f>
        <v>0</v>
      </c>
      <c r="O59" s="38">
        <f>AVERAGE(J59:N59)</f>
        <v>0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120" t="s">
        <v>1471</v>
      </c>
      <c r="J63" s="119"/>
      <c r="K63" s="119"/>
      <c r="L63" s="119"/>
      <c r="M63" s="119"/>
      <c r="N63" s="119"/>
      <c r="O63" s="38" t="e">
        <f>AVERAGE(J63:N63)</f>
        <v>#DIV/0!</v>
      </c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20'!A1" display="Next"/>
    <hyperlink ref="B4" location="'c110'!A1" display="Prev"/>
    <hyperlink ref="B10:B11" location="'Index of Integers'!A149" display="Index of Integers"/>
    <hyperlink ref="B13:B14" location="'Index of Parameters'!Q2" display="Index of Parameters"/>
    <hyperlink ref="B16:B17" location="'Index of Results'!Q2" display="Index of Results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13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311</v>
      </c>
      <c r="K3" s="2" t="s">
        <v>312</v>
      </c>
      <c r="L3" s="2" t="s">
        <v>313</v>
      </c>
      <c r="M3" s="2" t="s">
        <v>314</v>
      </c>
      <c r="N3" s="2" t="s">
        <v>315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1316.48</v>
      </c>
      <c r="K4" s="30">
        <v>1331.2</v>
      </c>
      <c r="L4" s="30">
        <v>1315.81</v>
      </c>
      <c r="M4" s="30">
        <v>1320.25</v>
      </c>
      <c r="N4" s="31">
        <v>1330.13</v>
      </c>
      <c r="O4" s="33">
        <f>AVERAGE(J4:N4)</f>
        <v>1322.7739999999999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50000</v>
      </c>
      <c r="G7" s="21" t="s">
        <v>1370</v>
      </c>
      <c r="H7" s="21">
        <v>500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50000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</v>
      </c>
      <c r="G13" s="20"/>
      <c r="H13" s="20"/>
      <c r="I13" s="10" t="s">
        <v>42</v>
      </c>
      <c r="J13" s="32">
        <v>618.4</v>
      </c>
      <c r="K13" s="33">
        <v>525.79999999999995</v>
      </c>
      <c r="L13" s="33">
        <v>534.11</v>
      </c>
      <c r="M13" s="33">
        <v>476.68</v>
      </c>
      <c r="N13" s="34">
        <v>535.84</v>
      </c>
      <c r="O13" s="33">
        <f>AVERAGE(J13:N13)</f>
        <v>538.16599999999994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1.69E-9</v>
      </c>
      <c r="K21" s="110">
        <v>1.8300000000000001E-9</v>
      </c>
      <c r="L21" s="110">
        <v>1.74E-9</v>
      </c>
      <c r="M21" s="110">
        <v>1.87E-9</v>
      </c>
      <c r="N21" s="110">
        <v>1.87E-9</v>
      </c>
      <c r="O21" s="38">
        <f>AVERAGE(J21:N21)</f>
        <v>1.8E-9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311</v>
      </c>
      <c r="K24" s="2" t="s">
        <v>312</v>
      </c>
      <c r="L24" s="2" t="s">
        <v>313</v>
      </c>
      <c r="M24" s="2" t="s">
        <v>314</v>
      </c>
      <c r="N24" s="2" t="s">
        <v>315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52</v>
      </c>
      <c r="G26" s="5" t="s">
        <v>1384</v>
      </c>
      <c r="H26" s="5">
        <v>148735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54</v>
      </c>
      <c r="G27" s="5" t="s">
        <v>1383</v>
      </c>
      <c r="H27" s="5">
        <v>1000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10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22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14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311</v>
      </c>
      <c r="K37" s="2" t="s">
        <v>312</v>
      </c>
      <c r="L37" s="2" t="s">
        <v>313</v>
      </c>
      <c r="M37" s="2" t="s">
        <v>314</v>
      </c>
      <c r="N37" s="2" t="s">
        <v>315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25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311</v>
      </c>
      <c r="K46" s="2" t="s">
        <v>312</v>
      </c>
      <c r="L46" s="2" t="s">
        <v>313</v>
      </c>
      <c r="M46" s="2" t="s">
        <v>314</v>
      </c>
      <c r="N46" s="2" t="s">
        <v>315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1934.8800000016902</v>
      </c>
      <c r="K54" s="2">
        <f>SUM(K4:K50)</f>
        <v>1857.0000000018299</v>
      </c>
      <c r="L54" s="2">
        <f>SUM(L4:L50)</f>
        <v>1849.9200000017402</v>
      </c>
      <c r="M54" s="2">
        <f>SUM(M4:M50)</f>
        <v>1796.93000000187</v>
      </c>
      <c r="N54" s="2">
        <f>SUM(N4:N50)</f>
        <v>1865.9700000018702</v>
      </c>
      <c r="O54" s="38">
        <f>AVERAGE(J54:N54)</f>
        <v>1860.9400000018002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0.99999999999912648</v>
      </c>
      <c r="K56" s="104">
        <f>SUM(K4:K18)/K54</f>
        <v>0.99999999999901457</v>
      </c>
      <c r="L56" s="104">
        <f>SUM(L4:L18)/L54</f>
        <v>0.99999999999905942</v>
      </c>
      <c r="M56" s="104">
        <f>SUM(M4:M18)/M54</f>
        <v>0.99999999999895939</v>
      </c>
      <c r="N56" s="104">
        <f>SUM(N4:N18)/N54</f>
        <v>0.99999999999899791</v>
      </c>
      <c r="O56" s="38">
        <f>AVERAGE(J56:N56)</f>
        <v>0.99999999999903155</v>
      </c>
    </row>
    <row r="57" spans="4:16" x14ac:dyDescent="0.25">
      <c r="I57" s="107" t="s">
        <v>45</v>
      </c>
      <c r="J57" s="105">
        <f>J25/J54</f>
        <v>0</v>
      </c>
      <c r="K57" s="105">
        <f t="shared" ref="K57:N57" si="0">K25/K54</f>
        <v>0</v>
      </c>
      <c r="L57" s="105">
        <f t="shared" si="0"/>
        <v>0</v>
      </c>
      <c r="M57" s="105">
        <f t="shared" si="0"/>
        <v>0</v>
      </c>
      <c r="N57" s="105">
        <f t="shared" si="0"/>
        <v>0</v>
      </c>
      <c r="O57" s="38">
        <f>AVERAGE(J57:N57)</f>
        <v>0</v>
      </c>
    </row>
    <row r="58" spans="4:16" x14ac:dyDescent="0.25">
      <c r="I58" s="108" t="s">
        <v>46</v>
      </c>
      <c r="J58" s="102">
        <f>SUM(J38:J42)/J54</f>
        <v>0</v>
      </c>
      <c r="K58" s="102">
        <f>SUM(K38:K42)/K54</f>
        <v>0</v>
      </c>
      <c r="L58" s="102">
        <f>SUM(L38:L42)/L54</f>
        <v>0</v>
      </c>
      <c r="M58" s="102">
        <f>SUM(M38:M42)/M54</f>
        <v>0</v>
      </c>
      <c r="N58" s="102">
        <f>SUM(N38:N42)/N54</f>
        <v>0</v>
      </c>
      <c r="O58" s="38">
        <f>AVERAGE(J58:N58)</f>
        <v>0</v>
      </c>
    </row>
    <row r="59" spans="4:16" x14ac:dyDescent="0.25">
      <c r="I59" s="109" t="s">
        <v>1448</v>
      </c>
      <c r="J59" s="103">
        <f>SUM(J47:J49)/J54</f>
        <v>0</v>
      </c>
      <c r="K59" s="103">
        <f>SUM(K47:K49)/K54</f>
        <v>0</v>
      </c>
      <c r="L59" s="103">
        <f>SUM(L47:L49)/L54</f>
        <v>0</v>
      </c>
      <c r="M59" s="103">
        <f>SUM(M47:M49)/M54</f>
        <v>0</v>
      </c>
      <c r="N59" s="103">
        <f>SUM(N47:N49)/N54</f>
        <v>0</v>
      </c>
      <c r="O59" s="38">
        <f>AVERAGE(J59:N59)</f>
        <v>0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120" t="s">
        <v>1471</v>
      </c>
      <c r="J63" s="119"/>
      <c r="K63" s="119"/>
      <c r="L63" s="119"/>
      <c r="M63" s="119"/>
      <c r="N63" s="119"/>
      <c r="O63" s="38" t="e">
        <f>AVERAGE(J63:N63)</f>
        <v>#DIV/0!</v>
      </c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25'!A1" display="Next"/>
    <hyperlink ref="B4" location="'c115'!A1" display="Prev"/>
    <hyperlink ref="B10:B11" location="'Index of Integers'!A160" display="Index of Integers"/>
    <hyperlink ref="B13:B14" location="'Index of Parameters'!R2" display="Index of Parameters"/>
    <hyperlink ref="B16:B17" location="'Index of Results'!R2" display="Index of Results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14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321</v>
      </c>
      <c r="K3" s="2" t="s">
        <v>322</v>
      </c>
      <c r="L3" s="2" t="s">
        <v>323</v>
      </c>
      <c r="M3" s="2" t="s">
        <v>324</v>
      </c>
      <c r="N3" s="2" t="s">
        <v>325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1996.27</v>
      </c>
      <c r="K4" s="30">
        <v>1995.75</v>
      </c>
      <c r="L4" s="30">
        <v>1982.31</v>
      </c>
      <c r="M4" s="30">
        <v>1992.45</v>
      </c>
      <c r="N4" s="31">
        <v>1980.31</v>
      </c>
      <c r="O4" s="33">
        <f>AVERAGE(J4:N4)</f>
        <v>1989.4180000000001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500000</v>
      </c>
      <c r="G7" s="21" t="s">
        <v>1370</v>
      </c>
      <c r="H7" s="21">
        <v>5000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40000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625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5</v>
      </c>
      <c r="G13" s="20"/>
      <c r="H13" s="20"/>
      <c r="I13" s="10" t="s">
        <v>42</v>
      </c>
      <c r="J13" s="32">
        <v>1562.31</v>
      </c>
      <c r="K13" s="33">
        <v>1411.18</v>
      </c>
      <c r="L13" s="33">
        <v>1379.42</v>
      </c>
      <c r="M13" s="33">
        <v>1432.34</v>
      </c>
      <c r="N13" s="34">
        <v>1287.52</v>
      </c>
      <c r="O13" s="33">
        <f>AVERAGE(J13:N13)</f>
        <v>1414.5540000000001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6.6E-10</v>
      </c>
      <c r="K21" s="110">
        <v>6.59E-10</v>
      </c>
      <c r="L21" s="110">
        <v>6.2300000000000002E-10</v>
      </c>
      <c r="M21" s="110">
        <v>6.3399999999999998E-10</v>
      </c>
      <c r="N21" s="110">
        <v>5.9600000000000001E-10</v>
      </c>
      <c r="O21" s="38">
        <f>AVERAGE(J21:N21)</f>
        <v>6.344E-10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321</v>
      </c>
      <c r="K24" s="2" t="s">
        <v>322</v>
      </c>
      <c r="L24" s="2" t="s">
        <v>323</v>
      </c>
      <c r="M24" s="2" t="s">
        <v>324</v>
      </c>
      <c r="N24" s="2" t="s">
        <v>325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57</v>
      </c>
      <c r="G26" s="5" t="s">
        <v>1384</v>
      </c>
      <c r="H26" s="5">
        <v>3683755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53</v>
      </c>
      <c r="G27" s="5" t="s">
        <v>1383</v>
      </c>
      <c r="H27" s="5">
        <v>5000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14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16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13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321</v>
      </c>
      <c r="K37" s="2" t="s">
        <v>322</v>
      </c>
      <c r="L37" s="2" t="s">
        <v>323</v>
      </c>
      <c r="M37" s="2" t="s">
        <v>324</v>
      </c>
      <c r="N37" s="2" t="s">
        <v>325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25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321</v>
      </c>
      <c r="K46" s="2" t="s">
        <v>322</v>
      </c>
      <c r="L46" s="2" t="s">
        <v>323</v>
      </c>
      <c r="M46" s="2" t="s">
        <v>324</v>
      </c>
      <c r="N46" s="2" t="s">
        <v>325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3558.5800000006598</v>
      </c>
      <c r="K54" s="2">
        <f>SUM(K4:K50)</f>
        <v>3406.9300000006592</v>
      </c>
      <c r="L54" s="2">
        <f>SUM(L4:L50)</f>
        <v>3361.730000000623</v>
      </c>
      <c r="M54" s="2">
        <f>SUM(M4:M50)</f>
        <v>3424.7900000006339</v>
      </c>
      <c r="N54" s="2">
        <f>SUM(N4:N50)</f>
        <v>3267.8300000005961</v>
      </c>
      <c r="O54" s="38">
        <f>AVERAGE(J54:N54)</f>
        <v>3403.9720000006346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0.99999999999981459</v>
      </c>
      <c r="K56" s="104">
        <f>SUM(K4:K18)/K54</f>
        <v>0.9999999999998066</v>
      </c>
      <c r="L56" s="104">
        <f>SUM(L4:L18)/L54</f>
        <v>0.9999999999998147</v>
      </c>
      <c r="M56" s="104">
        <f>SUM(M4:M18)/M54</f>
        <v>0.99999999999981493</v>
      </c>
      <c r="N56" s="104">
        <f>SUM(N4:N18)/N54</f>
        <v>0.99999999999981759</v>
      </c>
      <c r="O56" s="38">
        <f>AVERAGE(J56:N56)</f>
        <v>0.9999999999998137</v>
      </c>
    </row>
    <row r="57" spans="4:16" x14ac:dyDescent="0.25">
      <c r="I57" s="107" t="s">
        <v>45</v>
      </c>
      <c r="J57" s="105">
        <f>J25/J54</f>
        <v>0</v>
      </c>
      <c r="K57" s="105">
        <f t="shared" ref="K57:N57" si="0">K25/K54</f>
        <v>0</v>
      </c>
      <c r="L57" s="105">
        <f t="shared" si="0"/>
        <v>0</v>
      </c>
      <c r="M57" s="105">
        <f t="shared" si="0"/>
        <v>0</v>
      </c>
      <c r="N57" s="105">
        <f t="shared" si="0"/>
        <v>0</v>
      </c>
      <c r="O57" s="38">
        <f>AVERAGE(J57:N57)</f>
        <v>0</v>
      </c>
    </row>
    <row r="58" spans="4:16" x14ac:dyDescent="0.25">
      <c r="I58" s="108" t="s">
        <v>46</v>
      </c>
      <c r="J58" s="102">
        <f>SUM(J38:J42)/J54</f>
        <v>0</v>
      </c>
      <c r="K58" s="102">
        <f>SUM(K38:K42)/K54</f>
        <v>0</v>
      </c>
      <c r="L58" s="102">
        <f>SUM(L38:L42)/L54</f>
        <v>0</v>
      </c>
      <c r="M58" s="102">
        <f>SUM(M38:M42)/M54</f>
        <v>0</v>
      </c>
      <c r="N58" s="102">
        <f>SUM(N38:N42)/N54</f>
        <v>0</v>
      </c>
      <c r="O58" s="38">
        <f>AVERAGE(J58:N58)</f>
        <v>0</v>
      </c>
    </row>
    <row r="59" spans="4:16" x14ac:dyDescent="0.25">
      <c r="I59" s="109" t="s">
        <v>1448</v>
      </c>
      <c r="J59" s="103">
        <f>SUM(J47:J49)/J54</f>
        <v>0</v>
      </c>
      <c r="K59" s="103">
        <f>SUM(K47:K49)/K54</f>
        <v>0</v>
      </c>
      <c r="L59" s="103">
        <f>SUM(L47:L49)/L54</f>
        <v>0</v>
      </c>
      <c r="M59" s="103">
        <f>SUM(M47:M49)/M54</f>
        <v>0</v>
      </c>
      <c r="N59" s="103">
        <f>SUM(N47:N49)/N54</f>
        <v>0</v>
      </c>
      <c r="O59" s="38">
        <f>AVERAGE(J59:N59)</f>
        <v>0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30'!A1" display="Next"/>
    <hyperlink ref="B4" location="'c120'!A1" display="Prev"/>
    <hyperlink ref="B10:B11" location="'Index of Integers'!A171" display="Index of Integers"/>
    <hyperlink ref="B13:B14" location="'Index of Parameters'!S2" display="Index of Parameters"/>
    <hyperlink ref="B16:B17" location="'Index of Results'!S2" display="Index of Results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15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341</v>
      </c>
      <c r="K3" s="2" t="s">
        <v>342</v>
      </c>
      <c r="L3" s="2" t="s">
        <v>343</v>
      </c>
      <c r="M3" s="2" t="s">
        <v>344</v>
      </c>
      <c r="N3" s="2" t="s">
        <v>345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6584.45</v>
      </c>
      <c r="K4" s="30">
        <v>6581.91</v>
      </c>
      <c r="L4" s="30">
        <v>6579.25</v>
      </c>
      <c r="M4" s="30">
        <v>6554.15</v>
      </c>
      <c r="N4" s="31">
        <v>6558.47</v>
      </c>
      <c r="O4" s="33">
        <f>AVERAGE(J4:N4)</f>
        <v>6571.6460000000006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</v>
      </c>
      <c r="G7" s="21" t="s">
        <v>1370</v>
      </c>
      <c r="H7" s="21">
        <v>10000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80000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625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10</v>
      </c>
      <c r="G13" s="20"/>
      <c r="H13" s="20"/>
      <c r="I13" s="10" t="s">
        <v>42</v>
      </c>
      <c r="J13" s="32">
        <v>2883.18</v>
      </c>
      <c r="K13" s="33">
        <v>2578.34</v>
      </c>
      <c r="L13" s="33">
        <v>2621.38</v>
      </c>
      <c r="M13" s="33">
        <v>2974.73</v>
      </c>
      <c r="N13" s="34">
        <v>2548.7600000000002</v>
      </c>
      <c r="O13" s="33">
        <f>AVERAGE(J13:N13)</f>
        <v>2721.2780000000002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1.74E-9</v>
      </c>
      <c r="K21" s="110">
        <v>1.73E-9</v>
      </c>
      <c r="L21" s="110">
        <v>1.7700000000000001E-9</v>
      </c>
      <c r="M21" s="110">
        <v>1.7200000000000001E-9</v>
      </c>
      <c r="N21" s="110">
        <v>1.75E-9</v>
      </c>
      <c r="O21" s="38">
        <f>AVERAGE(J21:N21)</f>
        <v>1.742E-9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341</v>
      </c>
      <c r="K24" s="2" t="s">
        <v>342</v>
      </c>
      <c r="L24" s="2" t="s">
        <v>343</v>
      </c>
      <c r="M24" s="2" t="s">
        <v>344</v>
      </c>
      <c r="N24" s="2" t="s">
        <v>345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55</v>
      </c>
      <c r="G26" s="5" t="s">
        <v>1384</v>
      </c>
      <c r="H26" s="5">
        <v>1422541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56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13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21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14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341</v>
      </c>
      <c r="K37" s="2" t="s">
        <v>342</v>
      </c>
      <c r="L37" s="2" t="s">
        <v>343</v>
      </c>
      <c r="M37" s="2" t="s">
        <v>344</v>
      </c>
      <c r="N37" s="2" t="s">
        <v>345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25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341</v>
      </c>
      <c r="K46" s="2" t="s">
        <v>342</v>
      </c>
      <c r="L46" s="2" t="s">
        <v>343</v>
      </c>
      <c r="M46" s="2" t="s">
        <v>344</v>
      </c>
      <c r="N46" s="2" t="s">
        <v>345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9467.63000000174</v>
      </c>
      <c r="K54" s="2">
        <f>SUM(K4:K50)</f>
        <v>9160.2500000017299</v>
      </c>
      <c r="L54" s="2">
        <f>SUM(L4:L50)</f>
        <v>9200.6300000017709</v>
      </c>
      <c r="M54" s="2">
        <f>SUM(M4:M50)</f>
        <v>9528.88000000172</v>
      </c>
      <c r="N54" s="2">
        <f>SUM(N4:N50)</f>
        <v>9107.2300000017494</v>
      </c>
      <c r="O54" s="38">
        <f>AVERAGE(J54:N54)</f>
        <v>9292.9240000017417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0.99999999999981615</v>
      </c>
      <c r="K56" s="104">
        <f>SUM(K4:K18)/K54</f>
        <v>0.99999999999981115</v>
      </c>
      <c r="L56" s="104">
        <f>SUM(L4:L18)/L54</f>
        <v>0.9999999999998076</v>
      </c>
      <c r="M56" s="104">
        <f>SUM(M4:M18)/M54</f>
        <v>0.99999999999981937</v>
      </c>
      <c r="N56" s="104">
        <f>SUM(N4:N18)/N54</f>
        <v>0.99999999999980782</v>
      </c>
      <c r="O56" s="38">
        <f>AVERAGE(J56:N56)</f>
        <v>0.99999999999981237</v>
      </c>
    </row>
    <row r="57" spans="4:16" x14ac:dyDescent="0.25">
      <c r="I57" s="107" t="s">
        <v>45</v>
      </c>
      <c r="J57" s="105">
        <f>J25/J54</f>
        <v>0</v>
      </c>
      <c r="K57" s="105">
        <f t="shared" ref="K57:N57" si="0">K25/K54</f>
        <v>0</v>
      </c>
      <c r="L57" s="105">
        <f t="shared" si="0"/>
        <v>0</v>
      </c>
      <c r="M57" s="105">
        <f t="shared" si="0"/>
        <v>0</v>
      </c>
      <c r="N57" s="105">
        <f t="shared" si="0"/>
        <v>0</v>
      </c>
      <c r="O57" s="38">
        <f>AVERAGE(J57:N57)</f>
        <v>0</v>
      </c>
    </row>
    <row r="58" spans="4:16" x14ac:dyDescent="0.25">
      <c r="I58" s="108" t="s">
        <v>46</v>
      </c>
      <c r="J58" s="102">
        <f>SUM(J38:J42)/J54</f>
        <v>0</v>
      </c>
      <c r="K58" s="102">
        <f>SUM(K38:K42)/K54</f>
        <v>0</v>
      </c>
      <c r="L58" s="102">
        <f>SUM(L38:L42)/L54</f>
        <v>0</v>
      </c>
      <c r="M58" s="102">
        <f>SUM(M38:M42)/M54</f>
        <v>0</v>
      </c>
      <c r="N58" s="102">
        <f>SUM(N38:N42)/N54</f>
        <v>0</v>
      </c>
      <c r="O58" s="38">
        <f>AVERAGE(J58:N58)</f>
        <v>0</v>
      </c>
    </row>
    <row r="59" spans="4:16" x14ac:dyDescent="0.25">
      <c r="I59" s="109" t="s">
        <v>1448</v>
      </c>
      <c r="J59" s="103">
        <f>SUM(J47:J49)/J54</f>
        <v>0</v>
      </c>
      <c r="K59" s="103">
        <f>SUM(K47:K49)/K54</f>
        <v>0</v>
      </c>
      <c r="L59" s="103">
        <f>SUM(L47:L49)/L54</f>
        <v>0</v>
      </c>
      <c r="M59" s="103">
        <f>SUM(M47:M49)/M54</f>
        <v>0</v>
      </c>
      <c r="N59" s="103">
        <f>SUM(N47:N49)/N54</f>
        <v>0</v>
      </c>
      <c r="O59" s="38">
        <f>AVERAGE(J59:N59)</f>
        <v>0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35'!A1" display="Next"/>
    <hyperlink ref="B4" location="'c125'!A1" display="Prev"/>
    <hyperlink ref="B10:B11" location="'Index of Integers'!A182" display="Index of Integers"/>
    <hyperlink ref="B13:B14" location="'Index of Parameters'!T2" display="Index of Parameters"/>
    <hyperlink ref="B16:B17" location="'Index of Results'!T2" display="Index of Results"/>
  </hyperlink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16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351</v>
      </c>
      <c r="K3" s="2" t="s">
        <v>352</v>
      </c>
      <c r="L3" s="2" t="s">
        <v>353</v>
      </c>
      <c r="M3" s="2" t="s">
        <v>354</v>
      </c>
      <c r="N3" s="2" t="s">
        <v>355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9903.98</v>
      </c>
      <c r="K4" s="30">
        <v>9972.08</v>
      </c>
      <c r="L4" s="30">
        <v>9944.23</v>
      </c>
      <c r="M4" s="30">
        <v>9954.42</v>
      </c>
      <c r="N4" s="31">
        <v>9898.02</v>
      </c>
      <c r="O4" s="33">
        <f>AVERAGE(J4:N4)</f>
        <v>9934.5459999999985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200000</v>
      </c>
      <c r="G7" s="21" t="s">
        <v>1370</v>
      </c>
      <c r="H7" s="21">
        <v>2000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120000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10</v>
      </c>
      <c r="G13" s="20"/>
      <c r="H13" s="20"/>
      <c r="I13" s="10" t="s">
        <v>42</v>
      </c>
      <c r="J13" s="32">
        <v>3475.56</v>
      </c>
      <c r="K13" s="33">
        <v>3563.62</v>
      </c>
      <c r="L13" s="33">
        <v>3784.58</v>
      </c>
      <c r="M13" s="33">
        <v>3851.44</v>
      </c>
      <c r="N13" s="34">
        <v>3204.37</v>
      </c>
      <c r="O13" s="33">
        <f>AVERAGE(J13:N13)</f>
        <v>3575.9139999999998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3.6099999999999999E-10</v>
      </c>
      <c r="K21" s="110">
        <v>4.35E-10</v>
      </c>
      <c r="L21" s="110">
        <v>3.5400000000000002E-10</v>
      </c>
      <c r="M21" s="110">
        <v>4.2800000000000002E-10</v>
      </c>
      <c r="N21" s="110">
        <v>3.6800000000000002E-10</v>
      </c>
      <c r="O21" s="38">
        <f>AVERAGE(J21:N21)</f>
        <v>3.8920000000000001E-10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351</v>
      </c>
      <c r="K24" s="2" t="s">
        <v>352</v>
      </c>
      <c r="L24" s="2" t="s">
        <v>353</v>
      </c>
      <c r="M24" s="2" t="s">
        <v>354</v>
      </c>
      <c r="N24" s="2" t="s">
        <v>355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51</v>
      </c>
      <c r="G26" s="5" t="s">
        <v>1384</v>
      </c>
      <c r="H26" s="5">
        <v>10664570</v>
      </c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62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12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13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13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351</v>
      </c>
      <c r="K37" s="2" t="s">
        <v>352</v>
      </c>
      <c r="L37" s="2" t="s">
        <v>353</v>
      </c>
      <c r="M37" s="2" t="s">
        <v>354</v>
      </c>
      <c r="N37" s="2" t="s">
        <v>355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25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351</v>
      </c>
      <c r="K46" s="2" t="s">
        <v>352</v>
      </c>
      <c r="L46" s="2" t="s">
        <v>353</v>
      </c>
      <c r="M46" s="2" t="s">
        <v>354</v>
      </c>
      <c r="N46" s="2" t="s">
        <v>355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13379.540000000359</v>
      </c>
      <c r="K54" s="2">
        <f>SUM(K4:K50)</f>
        <v>13535.700000000435</v>
      </c>
      <c r="L54" s="2">
        <f>SUM(L4:L50)</f>
        <v>13728.810000000354</v>
      </c>
      <c r="M54" s="2">
        <f>SUM(M4:M50)</f>
        <v>13805.860000000428</v>
      </c>
      <c r="N54" s="2">
        <f>SUM(N4:N50)</f>
        <v>13102.390000000367</v>
      </c>
      <c r="O54" s="38">
        <f>AVERAGE(J54:N54)</f>
        <v>13510.46000000039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0.99999999999997313</v>
      </c>
      <c r="K56" s="104">
        <f>SUM(K4:K18)/K54</f>
        <v>0.99999999999996791</v>
      </c>
      <c r="L56" s="104">
        <f>SUM(L4:L18)/L54</f>
        <v>0.99999999999997413</v>
      </c>
      <c r="M56" s="104">
        <f>SUM(M4:M18)/M54</f>
        <v>0.99999999999996902</v>
      </c>
      <c r="N56" s="104">
        <f>SUM(N4:N18)/N54</f>
        <v>0.99999999999997191</v>
      </c>
      <c r="O56" s="38">
        <f>AVERAGE(J56:N56)</f>
        <v>0.99999999999997125</v>
      </c>
    </row>
    <row r="57" spans="4:16" x14ac:dyDescent="0.25">
      <c r="I57" s="107" t="s">
        <v>45</v>
      </c>
      <c r="J57" s="105">
        <f>J25/J54</f>
        <v>0</v>
      </c>
      <c r="K57" s="105">
        <f t="shared" ref="K57:N57" si="0">K25/K54</f>
        <v>0</v>
      </c>
      <c r="L57" s="105">
        <f t="shared" si="0"/>
        <v>0</v>
      </c>
      <c r="M57" s="105">
        <f t="shared" si="0"/>
        <v>0</v>
      </c>
      <c r="N57" s="105">
        <f t="shared" si="0"/>
        <v>0</v>
      </c>
      <c r="O57" s="38">
        <f>AVERAGE(J57:N57)</f>
        <v>0</v>
      </c>
    </row>
    <row r="58" spans="4:16" x14ac:dyDescent="0.25">
      <c r="I58" s="108" t="s">
        <v>46</v>
      </c>
      <c r="J58" s="102">
        <f>SUM(J38:J42)/J54</f>
        <v>0</v>
      </c>
      <c r="K58" s="102">
        <f>SUM(K38:K42)/K54</f>
        <v>0</v>
      </c>
      <c r="L58" s="102">
        <f>SUM(L38:L42)/L54</f>
        <v>0</v>
      </c>
      <c r="M58" s="102">
        <f>SUM(M38:M42)/M54</f>
        <v>0</v>
      </c>
      <c r="N58" s="102">
        <f>SUM(N38:N42)/N54</f>
        <v>0</v>
      </c>
      <c r="O58" s="38">
        <f>AVERAGE(J58:N58)</f>
        <v>0</v>
      </c>
    </row>
    <row r="59" spans="4:16" x14ac:dyDescent="0.25">
      <c r="I59" s="109" t="s">
        <v>1448</v>
      </c>
      <c r="J59" s="103">
        <f>SUM(J47:J49)/J54</f>
        <v>0</v>
      </c>
      <c r="K59" s="103">
        <f>SUM(K47:K49)/K54</f>
        <v>0</v>
      </c>
      <c r="L59" s="103">
        <f>SUM(L47:L49)/L54</f>
        <v>0</v>
      </c>
      <c r="M59" s="103">
        <f>SUM(M47:M49)/M54</f>
        <v>0</v>
      </c>
      <c r="N59" s="103">
        <f>SUM(N47:N49)/N54</f>
        <v>0</v>
      </c>
      <c r="O59" s="38">
        <f>AVERAGE(J59:N59)</f>
        <v>0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40'!A1" display="Next"/>
    <hyperlink ref="B4" location="'c130'!A1" display="Prev"/>
    <hyperlink ref="B10:B11" location="'Index of Integers'!A193" display="Index of Integers"/>
    <hyperlink ref="B13:B14" location="'Index of Parameters'!U2" display="Index of Parameters"/>
    <hyperlink ref="B16:B17" location="'Index of Results'!U2" display="Index of Results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17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371</v>
      </c>
      <c r="K3" s="2" t="s">
        <v>372</v>
      </c>
      <c r="L3" s="2" t="s">
        <v>373</v>
      </c>
      <c r="M3" s="2" t="s">
        <v>374</v>
      </c>
      <c r="N3" s="2" t="s">
        <v>375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31126.3</v>
      </c>
      <c r="K4" s="30">
        <v>31068.7</v>
      </c>
      <c r="L4" s="30">
        <v>31108.799999999999</v>
      </c>
      <c r="M4" s="30">
        <v>31196.400000000001</v>
      </c>
      <c r="N4" s="31">
        <v>31019.9</v>
      </c>
      <c r="O4" s="33">
        <f>AVERAGE(J4:N4)</f>
        <v>31104.02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400000</v>
      </c>
      <c r="G7" s="21" t="s">
        <v>1370</v>
      </c>
      <c r="H7" s="21">
        <v>4000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200000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10</v>
      </c>
      <c r="G13" s="20"/>
      <c r="H13" s="20"/>
      <c r="I13" s="10" t="s">
        <v>42</v>
      </c>
      <c r="J13" s="32">
        <v>4182.29</v>
      </c>
      <c r="K13" s="33">
        <v>4645.5</v>
      </c>
      <c r="L13" s="33">
        <v>4169.8500000000004</v>
      </c>
      <c r="M13" s="33">
        <v>4608.42</v>
      </c>
      <c r="N13" s="34">
        <v>3654.52</v>
      </c>
      <c r="O13" s="33">
        <f>AVERAGE(J13:N13)</f>
        <v>4252.116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8.5299999999999995E-10</v>
      </c>
      <c r="K21" s="110">
        <v>8.9300000000000002E-10</v>
      </c>
      <c r="L21" s="110">
        <v>8.3200000000000002E-10</v>
      </c>
      <c r="M21" s="110">
        <v>7.9400000000000005E-10</v>
      </c>
      <c r="N21" s="110">
        <v>9.1099999999999996E-10</v>
      </c>
      <c r="O21" s="38">
        <f>AVERAGE(J21:N21)</f>
        <v>8.5660000000000002E-10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371</v>
      </c>
      <c r="K24" s="2" t="s">
        <v>372</v>
      </c>
      <c r="L24" s="2" t="s">
        <v>373</v>
      </c>
      <c r="M24" s="2" t="s">
        <v>374</v>
      </c>
      <c r="N24" s="2" t="s">
        <v>375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62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61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82">
        <v>2.1</v>
      </c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>
        <v>2.29</v>
      </c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10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13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13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371</v>
      </c>
      <c r="K37" s="2" t="s">
        <v>372</v>
      </c>
      <c r="L37" s="2" t="s">
        <v>373</v>
      </c>
      <c r="M37" s="2" t="s">
        <v>374</v>
      </c>
      <c r="N37" s="2" t="s">
        <v>375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25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371</v>
      </c>
      <c r="K46" s="2" t="s">
        <v>372</v>
      </c>
      <c r="L46" s="2" t="s">
        <v>373</v>
      </c>
      <c r="M46" s="2" t="s">
        <v>374</v>
      </c>
      <c r="N46" s="2" t="s">
        <v>375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35308.590000000848</v>
      </c>
      <c r="K54" s="2">
        <f>SUM(K4:K50)</f>
        <v>35714.200000000892</v>
      </c>
      <c r="L54" s="2">
        <f>SUM(L4:L50)</f>
        <v>35278.650000000831</v>
      </c>
      <c r="M54" s="2">
        <f>SUM(M4:M50)</f>
        <v>35804.820000000793</v>
      </c>
      <c r="N54" s="2">
        <f>SUM(N4:N50)</f>
        <v>34674.420000000908</v>
      </c>
      <c r="O54" s="38">
        <f>AVERAGE(J54:N54)</f>
        <v>35356.136000000857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0.99999999999997591</v>
      </c>
      <c r="K56" s="104">
        <f>SUM(K4:K18)/K54</f>
        <v>0.99999999999997491</v>
      </c>
      <c r="L56" s="104">
        <f>SUM(L4:L18)/L54</f>
        <v>0.99999999999997646</v>
      </c>
      <c r="M56" s="104">
        <f>SUM(M4:M18)/M54</f>
        <v>0.9999999999999778</v>
      </c>
      <c r="N56" s="104">
        <f>SUM(N4:N18)/N54</f>
        <v>0.9999999999999738</v>
      </c>
      <c r="O56" s="38">
        <f>AVERAGE(J56:N56)</f>
        <v>0.9999999999999758</v>
      </c>
    </row>
    <row r="57" spans="4:16" x14ac:dyDescent="0.25">
      <c r="I57" s="107" t="s">
        <v>45</v>
      </c>
      <c r="J57" s="105">
        <f>J25/J54</f>
        <v>0</v>
      </c>
      <c r="K57" s="105">
        <f t="shared" ref="K57:N57" si="0">K25/K54</f>
        <v>0</v>
      </c>
      <c r="L57" s="105">
        <f t="shared" si="0"/>
        <v>0</v>
      </c>
      <c r="M57" s="105">
        <f t="shared" si="0"/>
        <v>0</v>
      </c>
      <c r="N57" s="105">
        <f t="shared" si="0"/>
        <v>0</v>
      </c>
      <c r="O57" s="38">
        <f>AVERAGE(J57:N57)</f>
        <v>0</v>
      </c>
    </row>
    <row r="58" spans="4:16" x14ac:dyDescent="0.25">
      <c r="I58" s="108" t="s">
        <v>46</v>
      </c>
      <c r="J58" s="102">
        <f>SUM(J38:J42)/J54</f>
        <v>0</v>
      </c>
      <c r="K58" s="102">
        <f>SUM(K38:K42)/K54</f>
        <v>0</v>
      </c>
      <c r="L58" s="102">
        <f>SUM(L38:L42)/L54</f>
        <v>0</v>
      </c>
      <c r="M58" s="102">
        <f>SUM(M38:M42)/M54</f>
        <v>0</v>
      </c>
      <c r="N58" s="102">
        <f>SUM(N38:N42)/N54</f>
        <v>0</v>
      </c>
      <c r="O58" s="38">
        <f>AVERAGE(J58:N58)</f>
        <v>0</v>
      </c>
    </row>
    <row r="59" spans="4:16" x14ac:dyDescent="0.25">
      <c r="I59" s="109" t="s">
        <v>1448</v>
      </c>
      <c r="J59" s="103">
        <f>SUM(J47:J49)/J54</f>
        <v>0</v>
      </c>
      <c r="K59" s="103">
        <f>SUM(K47:K49)/K54</f>
        <v>0</v>
      </c>
      <c r="L59" s="103">
        <f>SUM(L47:L49)/L54</f>
        <v>0</v>
      </c>
      <c r="M59" s="103">
        <f>SUM(M47:M49)/M54</f>
        <v>0</v>
      </c>
      <c r="N59" s="103">
        <f>SUM(N47:N49)/N54</f>
        <v>0</v>
      </c>
      <c r="O59" s="38">
        <f>AVERAGE(J59:N59)</f>
        <v>0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8" location="'c145'!A1" display="Next"/>
    <hyperlink ref="B6" location="Contents!A1" display="Contents"/>
    <hyperlink ref="B4" location="'c135'!A1" display="Prev"/>
    <hyperlink ref="B10:B11" location="'Index of Integers'!A204" display="Index of Integers"/>
    <hyperlink ref="B13:B14" location="'Index of Parameters'!V2" display="Index of Parameters"/>
    <hyperlink ref="B16:B17" location="'Index of Results'!V2" display="Index of Results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18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381</v>
      </c>
      <c r="K3" s="2" t="s">
        <v>382</v>
      </c>
      <c r="L3" s="2" t="s">
        <v>383</v>
      </c>
      <c r="M3" s="2" t="s">
        <v>384</v>
      </c>
      <c r="N3" s="2" t="s">
        <v>385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55451.1</v>
      </c>
      <c r="K4" s="30">
        <v>55205.3</v>
      </c>
      <c r="L4" s="30">
        <v>55266.6</v>
      </c>
      <c r="M4" s="30">
        <v>55250.3</v>
      </c>
      <c r="N4" s="31">
        <v>55090.8</v>
      </c>
      <c r="O4" s="33">
        <f>AVERAGE(J4:N4)</f>
        <v>55252.819999999992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500000</v>
      </c>
      <c r="G7" s="21" t="s">
        <v>1370</v>
      </c>
      <c r="H7" s="21">
        <v>1000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300000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2641.04</v>
      </c>
      <c r="K13" s="33">
        <v>2782.15</v>
      </c>
      <c r="L13" s="33">
        <v>2764.7</v>
      </c>
      <c r="M13" s="33">
        <v>2399.85</v>
      </c>
      <c r="N13" s="34">
        <v>2117.79</v>
      </c>
      <c r="O13" s="33">
        <f>AVERAGE(J13:N13)</f>
        <v>2541.1059999999998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3E-10</v>
      </c>
      <c r="K21" s="110">
        <v>3.0199999999999999E-10</v>
      </c>
      <c r="L21" s="110">
        <v>2.8000000000000002E-10</v>
      </c>
      <c r="M21" s="110">
        <v>2.9400000000000002E-10</v>
      </c>
      <c r="N21" s="110">
        <v>3.14E-10</v>
      </c>
      <c r="O21" s="38">
        <f>AVERAGE(J21:N21)</f>
        <v>2.98E-10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381</v>
      </c>
      <c r="K24" s="2" t="s">
        <v>382</v>
      </c>
      <c r="L24" s="2" t="s">
        <v>383</v>
      </c>
      <c r="M24" s="2" t="s">
        <v>384</v>
      </c>
      <c r="N24" s="2" t="s">
        <v>385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58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87</v>
      </c>
      <c r="G27" s="5" t="s">
        <v>1383</v>
      </c>
      <c r="H27" s="5"/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/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13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381</v>
      </c>
      <c r="K37" s="2" t="s">
        <v>382</v>
      </c>
      <c r="L37" s="2" t="s">
        <v>383</v>
      </c>
      <c r="M37" s="2" t="s">
        <v>384</v>
      </c>
      <c r="N37" s="2" t="s">
        <v>385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25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381</v>
      </c>
      <c r="K46" s="2" t="s">
        <v>382</v>
      </c>
      <c r="L46" s="2" t="s">
        <v>383</v>
      </c>
      <c r="M46" s="2" t="s">
        <v>384</v>
      </c>
      <c r="N46" s="2" t="s">
        <v>385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58092.140000000298</v>
      </c>
      <c r="K54" s="2">
        <f>SUM(K4:K50)</f>
        <v>57987.45000000031</v>
      </c>
      <c r="L54" s="2">
        <f>SUM(L4:L50)</f>
        <v>58031.300000000272</v>
      </c>
      <c r="M54" s="2">
        <f>SUM(M4:M50)</f>
        <v>57650.150000000292</v>
      </c>
      <c r="N54" s="2">
        <f>SUM(N4:N50)</f>
        <v>57208.590000000317</v>
      </c>
      <c r="O54" s="38">
        <f>AVERAGE(J54:N54)</f>
        <v>57793.926000000305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>
        <f>SUM(J4:J18)/J54</f>
        <v>0.99999999999999489</v>
      </c>
      <c r="K56" s="104">
        <f>SUM(K4:K18)/K54</f>
        <v>0.99999999999999478</v>
      </c>
      <c r="L56" s="104">
        <f>SUM(L4:L18)/L54</f>
        <v>0.99999999999999523</v>
      </c>
      <c r="M56" s="104">
        <f>SUM(M4:M18)/M54</f>
        <v>0.999999999999995</v>
      </c>
      <c r="N56" s="104">
        <f>SUM(N4:N18)/N54</f>
        <v>0.99999999999999456</v>
      </c>
      <c r="O56" s="38">
        <f>AVERAGE(J56:N56)</f>
        <v>0.99999999999999489</v>
      </c>
    </row>
    <row r="57" spans="4:16" x14ac:dyDescent="0.25">
      <c r="I57" s="107" t="s">
        <v>45</v>
      </c>
      <c r="J57" s="105">
        <f>J25/J54</f>
        <v>0</v>
      </c>
      <c r="K57" s="105">
        <f t="shared" ref="K57:N57" si="0">K25/K54</f>
        <v>0</v>
      </c>
      <c r="L57" s="105">
        <f t="shared" si="0"/>
        <v>0</v>
      </c>
      <c r="M57" s="105">
        <f t="shared" si="0"/>
        <v>0</v>
      </c>
      <c r="N57" s="105">
        <f t="shared" si="0"/>
        <v>0</v>
      </c>
      <c r="O57" s="38">
        <f>AVERAGE(J57:N57)</f>
        <v>0</v>
      </c>
    </row>
    <row r="58" spans="4:16" x14ac:dyDescent="0.25">
      <c r="I58" s="108" t="s">
        <v>46</v>
      </c>
      <c r="J58" s="102">
        <f>SUM(J38:J42)/J54</f>
        <v>0</v>
      </c>
      <c r="K58" s="102">
        <f>SUM(K38:K42)/K54</f>
        <v>0</v>
      </c>
      <c r="L58" s="102">
        <f>SUM(L38:L42)/L54</f>
        <v>0</v>
      </c>
      <c r="M58" s="102">
        <f>SUM(M38:M42)/M54</f>
        <v>0</v>
      </c>
      <c r="N58" s="102">
        <f>SUM(N38:N42)/N54</f>
        <v>0</v>
      </c>
      <c r="O58" s="38">
        <f>AVERAGE(J58:N58)</f>
        <v>0</v>
      </c>
    </row>
    <row r="59" spans="4:16" x14ac:dyDescent="0.25">
      <c r="I59" s="109" t="s">
        <v>1448</v>
      </c>
      <c r="J59" s="103">
        <f>SUM(J47:J49)/J54</f>
        <v>0</v>
      </c>
      <c r="K59" s="103">
        <f>SUM(K47:K49)/K54</f>
        <v>0</v>
      </c>
      <c r="L59" s="103">
        <f>SUM(L47:L49)/L54</f>
        <v>0</v>
      </c>
      <c r="M59" s="103">
        <f>SUM(M47:M49)/M54</f>
        <v>0</v>
      </c>
      <c r="N59" s="103">
        <f>SUM(N47:N49)/N54</f>
        <v>0</v>
      </c>
      <c r="O59" s="38">
        <f>AVERAGE(J59:N59)</f>
        <v>0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150'!A1" display="Next"/>
    <hyperlink ref="B4" location="'c140'!A1" display="Prev"/>
    <hyperlink ref="B10:B11" location="'Index of Integers'!A215" display="Index of Integers"/>
    <hyperlink ref="B13:B14" location="'Index of Parameters'!W2" display="Index of Parameters"/>
    <hyperlink ref="B16:B17" location="'Index of Results'!W2" display="Index of Results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19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401</v>
      </c>
      <c r="K3" s="2" t="s">
        <v>402</v>
      </c>
      <c r="L3" s="2" t="s">
        <v>403</v>
      </c>
      <c r="M3" s="2" t="s">
        <v>404</v>
      </c>
      <c r="N3" s="2" t="s">
        <v>405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70775.899999999994</v>
      </c>
      <c r="K4" s="30">
        <v>71260.2</v>
      </c>
      <c r="L4" s="30">
        <v>71232.600000000006</v>
      </c>
      <c r="M4" s="30">
        <v>56931.6</v>
      </c>
      <c r="N4" s="31">
        <v>71111.899999999994</v>
      </c>
      <c r="O4" s="33">
        <f>AVERAGE(J4:N4)</f>
        <v>68262.439999999988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400000</v>
      </c>
      <c r="G7" s="21" t="s">
        <v>1370</v>
      </c>
      <c r="H7" s="21">
        <v>1000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500000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10</v>
      </c>
      <c r="G13" s="20"/>
      <c r="H13" s="20"/>
      <c r="I13" s="10" t="s">
        <v>42</v>
      </c>
      <c r="J13" s="32">
        <v>6846.1</v>
      </c>
      <c r="K13" s="33">
        <v>7087.51</v>
      </c>
      <c r="L13" s="33">
        <v>6450.86</v>
      </c>
      <c r="M13" s="33">
        <v>7501.06</v>
      </c>
      <c r="N13" s="34">
        <v>6154.67</v>
      </c>
      <c r="O13" s="33">
        <f>AVERAGE(J13:N13)</f>
        <v>6808.0400000000009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3.4599999999999999E-10</v>
      </c>
      <c r="K21" s="110">
        <v>3.5099999999999998E-10</v>
      </c>
      <c r="L21" s="110">
        <v>3.6800000000000002E-10</v>
      </c>
      <c r="M21" s="110">
        <v>3.2200000000000003E-10</v>
      </c>
      <c r="N21" s="110">
        <v>3.5400000000000002E-10</v>
      </c>
      <c r="O21" s="38">
        <f>AVERAGE(J21:N21)</f>
        <v>3.482E-10</v>
      </c>
    </row>
    <row r="23" spans="2:16" x14ac:dyDescent="0.25">
      <c r="I23" s="120" t="s">
        <v>1471</v>
      </c>
      <c r="J23" s="119" t="s">
        <v>1473</v>
      </c>
      <c r="K23" s="119" t="s">
        <v>1473</v>
      </c>
      <c r="L23" s="119" t="s">
        <v>1473</v>
      </c>
      <c r="M23" s="119">
        <v>2454.8310000000001</v>
      </c>
      <c r="N23" s="119">
        <v>2380.8339999999998</v>
      </c>
      <c r="O23" s="38">
        <f>AVERAGE(J23:N23)</f>
        <v>2417.8325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401</v>
      </c>
      <c r="K26" s="2" t="s">
        <v>402</v>
      </c>
      <c r="L26" s="2" t="s">
        <v>403</v>
      </c>
      <c r="M26" s="2" t="s">
        <v>404</v>
      </c>
      <c r="N26" s="2" t="s">
        <v>405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64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87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>
        <v>12</v>
      </c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>
        <v>10</v>
      </c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13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401</v>
      </c>
      <c r="K39" s="2" t="s">
        <v>402</v>
      </c>
      <c r="L39" s="2" t="s">
        <v>403</v>
      </c>
      <c r="M39" s="2" t="s">
        <v>404</v>
      </c>
      <c r="N39" s="2" t="s">
        <v>405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30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401</v>
      </c>
      <c r="K48" s="2" t="s">
        <v>402</v>
      </c>
      <c r="L48" s="2" t="s">
        <v>403</v>
      </c>
      <c r="M48" s="2" t="s">
        <v>404</v>
      </c>
      <c r="N48" s="2" t="s">
        <v>405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77622.000000000349</v>
      </c>
      <c r="K56" s="2">
        <f>SUM(K4:K52)</f>
        <v>78347.710000000341</v>
      </c>
      <c r="L56" s="2">
        <f>SUM(L4:L52)</f>
        <v>77683.46000000037</v>
      </c>
      <c r="M56" s="2">
        <f>SUM(M4:M52)</f>
        <v>66887.491000000315</v>
      </c>
      <c r="N56" s="2">
        <f>SUM(N4:N52)</f>
        <v>79647.404000000344</v>
      </c>
      <c r="O56" s="38">
        <f>AVERAGE(J56:N56)</f>
        <v>76037.613000000332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0.99999999999999545</v>
      </c>
      <c r="K58" s="104">
        <f>SUM(K4:K18)/K56</f>
        <v>0.99999999999999556</v>
      </c>
      <c r="L58" s="104">
        <f>SUM(L4:L18)/L56</f>
        <v>0.99999999999999534</v>
      </c>
      <c r="M58" s="104">
        <f>SUM(M4:M18)/M56</f>
        <v>0.9632991017707585</v>
      </c>
      <c r="N58" s="104">
        <f>SUM(N4:N18)/N56</f>
        <v>0.97010782674096518</v>
      </c>
      <c r="O58" s="38">
        <f>AVERAGE(J58:N58)</f>
        <v>0.98668138570234221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55'!A1" display="Next"/>
    <hyperlink ref="B4" location="'c145'!A1" display="Prev"/>
    <hyperlink ref="B10:B11" location="'Index of Integers'!A226" display="Index of Integers"/>
    <hyperlink ref="B13:B14" location="'Index of Parameters'!X2" display="Index of Parameters"/>
    <hyperlink ref="B16:B17" location="'Index of Results'!X2" display="Index of Results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20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411</v>
      </c>
      <c r="K3" s="2" t="s">
        <v>412</v>
      </c>
      <c r="L3" s="2" t="s">
        <v>413</v>
      </c>
      <c r="M3" s="2" t="s">
        <v>414</v>
      </c>
      <c r="N3" s="2" t="s">
        <v>415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89460.1</v>
      </c>
      <c r="K4" s="30">
        <v>89298.3</v>
      </c>
      <c r="L4" s="30">
        <v>89635.4</v>
      </c>
      <c r="M4" s="30">
        <v>89319.6</v>
      </c>
      <c r="N4" s="31">
        <v>89285.2</v>
      </c>
      <c r="O4" s="33">
        <f>AVERAGE(J4:N4)</f>
        <v>89399.72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500000</v>
      </c>
      <c r="G7" s="21" t="s">
        <v>1370</v>
      </c>
      <c r="H7" s="21">
        <v>1000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500000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10</v>
      </c>
      <c r="G13" s="20"/>
      <c r="H13" s="20"/>
      <c r="I13" s="10" t="s">
        <v>42</v>
      </c>
      <c r="J13" s="32">
        <v>7752.9</v>
      </c>
      <c r="K13" s="33">
        <v>8420.5300000000007</v>
      </c>
      <c r="L13" s="33">
        <v>7825.53</v>
      </c>
      <c r="M13" s="33">
        <v>8426.9599999999991</v>
      </c>
      <c r="N13" s="34">
        <v>7305.39</v>
      </c>
      <c r="O13" s="33">
        <f>AVERAGE(J13:N13)</f>
        <v>7946.2619999999997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8.3400000000000004E-11</v>
      </c>
      <c r="K21" s="110">
        <v>8.6699999999999995E-11</v>
      </c>
      <c r="L21" s="110">
        <v>8.9399999999999996E-11</v>
      </c>
      <c r="M21" s="110">
        <v>8.8599999999999996E-11</v>
      </c>
      <c r="N21" s="110">
        <v>8.7199999999999994E-11</v>
      </c>
      <c r="O21" s="38">
        <f>AVERAGE(J21:N21)</f>
        <v>8.7059999999999982E-11</v>
      </c>
    </row>
    <row r="23" spans="2:16" x14ac:dyDescent="0.25">
      <c r="I23" s="120" t="s">
        <v>1471</v>
      </c>
      <c r="J23" s="119">
        <v>2961.663</v>
      </c>
      <c r="K23" s="96" t="s">
        <v>1474</v>
      </c>
      <c r="L23" s="119">
        <v>2962.6179999999999</v>
      </c>
      <c r="M23" s="119">
        <v>2988.4810000000002</v>
      </c>
      <c r="N23" s="119">
        <v>2968.5169999999998</v>
      </c>
      <c r="O23" s="38">
        <f>AVERAGE(J23:N23)</f>
        <v>2970.3197500000001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411</v>
      </c>
      <c r="K26" s="2" t="s">
        <v>412</v>
      </c>
      <c r="L26" s="2" t="s">
        <v>413</v>
      </c>
      <c r="M26" s="2" t="s">
        <v>414</v>
      </c>
      <c r="N26" s="2" t="s">
        <v>415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62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61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>
        <v>13</v>
      </c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>
        <v>23</v>
      </c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14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411</v>
      </c>
      <c r="K39" s="2" t="s">
        <v>412</v>
      </c>
      <c r="L39" s="2" t="s">
        <v>413</v>
      </c>
      <c r="M39" s="2" t="s">
        <v>414</v>
      </c>
      <c r="N39" s="2" t="s">
        <v>415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30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411</v>
      </c>
      <c r="K48" s="2" t="s">
        <v>412</v>
      </c>
      <c r="L48" s="2" t="s">
        <v>413</v>
      </c>
      <c r="M48" s="2" t="s">
        <v>414</v>
      </c>
      <c r="N48" s="2" t="s">
        <v>415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100174.66300000009</v>
      </c>
      <c r="K56" s="2">
        <f>SUM(K4:K52)</f>
        <v>97718.830000000089</v>
      </c>
      <c r="L56" s="2">
        <f>SUM(L4:L52)</f>
        <v>100423.54800000008</v>
      </c>
      <c r="M56" s="2">
        <f>SUM(M4:M52)</f>
        <v>100735.04100000008</v>
      </c>
      <c r="N56" s="2">
        <f>SUM(N4:N52)</f>
        <v>99559.107000000076</v>
      </c>
      <c r="O56" s="38">
        <f>AVERAGE(J56:N56)</f>
        <v>99722.23780000009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0.97043500910005476</v>
      </c>
      <c r="K58" s="104">
        <f>SUM(K4:K18)/K56</f>
        <v>0.99999999999999911</v>
      </c>
      <c r="L58" s="104">
        <f>SUM(L4:L18)/L56</f>
        <v>0.97049877186175415</v>
      </c>
      <c r="M58" s="104">
        <f>SUM(M4:M18)/M56</f>
        <v>0.97033325275561177</v>
      </c>
      <c r="N58" s="104">
        <f>SUM(N4:N18)/N56</f>
        <v>0.97018337056799764</v>
      </c>
      <c r="O58" s="38">
        <f>AVERAGE(J58:N58)</f>
        <v>0.97629008085708335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60'!A1" display="Next"/>
    <hyperlink ref="B4" location="'c150'!A1" display="Prev"/>
    <hyperlink ref="B10:B11" location="'Index of Integers'!A237" display="Index of Integers"/>
    <hyperlink ref="B13:B14" location="'Index of Parameters'!Y2" display="Index of Parameters"/>
    <hyperlink ref="B16:B17" location="'Index of Results'!Y2" display="Index of Results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21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431</v>
      </c>
      <c r="K3" s="2" t="s">
        <v>432</v>
      </c>
      <c r="L3" s="2" t="s">
        <v>433</v>
      </c>
      <c r="M3" s="2" t="s">
        <v>434</v>
      </c>
      <c r="N3" s="2" t="s">
        <v>435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215988</v>
      </c>
      <c r="K4" s="30">
        <v>215551</v>
      </c>
      <c r="L4" s="30">
        <v>214327</v>
      </c>
      <c r="M4" s="30">
        <v>214694</v>
      </c>
      <c r="N4" s="31">
        <v>214021</v>
      </c>
      <c r="O4" s="33">
        <f>AVERAGE(J4:N4)</f>
        <v>214916.2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</v>
      </c>
      <c r="G7" s="21" t="s">
        <v>1370</v>
      </c>
      <c r="H7" s="21">
        <v>1000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600000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6531.32</v>
      </c>
      <c r="K13" s="33">
        <v>6300.58</v>
      </c>
      <c r="L13" s="33">
        <v>7139.3</v>
      </c>
      <c r="M13" s="33">
        <v>6723.87</v>
      </c>
      <c r="N13" s="34">
        <v>6572.02</v>
      </c>
      <c r="O13" s="33">
        <f>AVERAGE(J13:N13)</f>
        <v>6653.4179999999997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6.8600000000000001E-11</v>
      </c>
      <c r="K21" s="110">
        <v>6.1900000000000001E-11</v>
      </c>
      <c r="L21" s="110">
        <v>6.4900000000000003E-11</v>
      </c>
      <c r="M21" s="110">
        <v>6.9200000000000004E-11</v>
      </c>
      <c r="N21" s="110">
        <v>6.1100000000000001E-11</v>
      </c>
      <c r="O21" s="38">
        <f>AVERAGE(J21:N21)</f>
        <v>6.5140000000000007E-11</v>
      </c>
    </row>
    <row r="23" spans="2:16" x14ac:dyDescent="0.25">
      <c r="I23" s="120" t="s">
        <v>1471</v>
      </c>
      <c r="J23" s="119">
        <v>6583.7079999999996</v>
      </c>
      <c r="K23" s="119">
        <v>6525.7690000000002</v>
      </c>
      <c r="L23" s="119">
        <v>6910.0190000000002</v>
      </c>
      <c r="M23" s="119">
        <v>6498.4210000000003</v>
      </c>
      <c r="N23" s="119">
        <v>6540.9319999999998</v>
      </c>
      <c r="O23" s="38">
        <f>AVERAGE(J23:N23)</f>
        <v>6611.7698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431</v>
      </c>
      <c r="K26" s="2" t="s">
        <v>432</v>
      </c>
      <c r="L26" s="2" t="s">
        <v>433</v>
      </c>
      <c r="M26" s="2" t="s">
        <v>434</v>
      </c>
      <c r="N26" s="2" t="s">
        <v>435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60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90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/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14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431</v>
      </c>
      <c r="K39" s="2" t="s">
        <v>432</v>
      </c>
      <c r="L39" s="2" t="s">
        <v>433</v>
      </c>
      <c r="M39" s="2" t="s">
        <v>434</v>
      </c>
      <c r="N39" s="2" t="s">
        <v>435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30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431</v>
      </c>
      <c r="K48" s="2" t="s">
        <v>432</v>
      </c>
      <c r="L48" s="2" t="s">
        <v>433</v>
      </c>
      <c r="M48" s="2" t="s">
        <v>434</v>
      </c>
      <c r="N48" s="2" t="s">
        <v>435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229103.02800000008</v>
      </c>
      <c r="K56" s="2">
        <f>SUM(K4:K52)</f>
        <v>228377.34900000005</v>
      </c>
      <c r="L56" s="2">
        <f>SUM(L4:L52)</f>
        <v>228376.31900000005</v>
      </c>
      <c r="M56" s="2">
        <f>SUM(M4:M52)</f>
        <v>227916.29100000006</v>
      </c>
      <c r="N56" s="2">
        <f>SUM(N4:N52)</f>
        <v>227133.95200000005</v>
      </c>
      <c r="O56" s="38">
        <f>AVERAGE(J56:N56)</f>
        <v>228181.38780000005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0.97126311224485395</v>
      </c>
      <c r="K58" s="104">
        <f>SUM(K4:K18)/K56</f>
        <v>0.97142549806898737</v>
      </c>
      <c r="L58" s="104">
        <f>SUM(L4:L18)/L56</f>
        <v>0.96974283923019156</v>
      </c>
      <c r="M58" s="104">
        <f>SUM(M4:M18)/M56</f>
        <v>0.97148768536251728</v>
      </c>
      <c r="N58" s="104">
        <f>SUM(N4:N18)/N56</f>
        <v>0.9712023150110114</v>
      </c>
      <c r="O58" s="38">
        <f>AVERAGE(J58:N58)</f>
        <v>0.97102428998351231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65'!A1" display="Next"/>
    <hyperlink ref="B4" location="'c155'!A1" display="Prev"/>
    <hyperlink ref="B10:B11" location="'Index of Integers'!A248" display="Index of Integers"/>
    <hyperlink ref="B13:B14" location="'Index of Parameters'!Z2" display="Index of Parameters"/>
    <hyperlink ref="B16:B17" location="'Index of Results'!Z2" display="Index of Results"/>
  </hyperlink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22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521</v>
      </c>
      <c r="K3" s="28" t="s">
        <v>522</v>
      </c>
      <c r="L3" s="28" t="s">
        <v>523</v>
      </c>
      <c r="M3" s="2" t="s">
        <v>524</v>
      </c>
      <c r="N3" s="2" t="s">
        <v>525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>
        <v>690283</v>
      </c>
      <c r="K4">
        <v>685689</v>
      </c>
      <c r="L4">
        <v>689003</v>
      </c>
      <c r="M4" s="30">
        <v>686558</v>
      </c>
      <c r="N4" s="31">
        <v>681534</v>
      </c>
      <c r="O4" s="33">
        <f>AVERAGE(J4:N4)</f>
        <v>686613.4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2000000</v>
      </c>
      <c r="G7" s="21" t="s">
        <v>1370</v>
      </c>
      <c r="H7" s="21">
        <v>1000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6114.97</v>
      </c>
      <c r="K13">
        <v>6298.91</v>
      </c>
      <c r="L13">
        <v>5545.76</v>
      </c>
      <c r="M13" s="33">
        <v>5352.62</v>
      </c>
      <c r="N13" s="34">
        <v>6161.27</v>
      </c>
      <c r="O13" s="33">
        <f>AVERAGE(J13:N13)</f>
        <v>5894.7060000000001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0" spans="2:16" x14ac:dyDescent="0.25">
      <c r="K20" s="125"/>
    </row>
    <row r="21" spans="2:16" x14ac:dyDescent="0.25">
      <c r="I21" s="2" t="s">
        <v>1450</v>
      </c>
      <c r="J21" s="110">
        <v>3.47E-11</v>
      </c>
      <c r="K21" s="126">
        <v>3.71E-11</v>
      </c>
      <c r="L21">
        <v>3.7400000000000001E-11</v>
      </c>
      <c r="M21" s="110">
        <v>4.1999999999999997E-11</v>
      </c>
      <c r="N21" s="110">
        <v>3.9099999999999999E-11</v>
      </c>
      <c r="O21" s="38">
        <f>AVERAGE(J21:N21)</f>
        <v>3.8060000000000002E-11</v>
      </c>
    </row>
    <row r="23" spans="2:16" x14ac:dyDescent="0.25">
      <c r="I23" s="120" t="s">
        <v>1471</v>
      </c>
      <c r="J23" s="119">
        <v>20155.532999999999</v>
      </c>
      <c r="K23" s="119">
        <v>20039</v>
      </c>
      <c r="L23" s="119">
        <v>20042</v>
      </c>
      <c r="M23" s="119">
        <v>19947</v>
      </c>
      <c r="N23" s="119">
        <v>19871</v>
      </c>
      <c r="O23" s="38">
        <f>AVERAGE(J23:N23)</f>
        <v>20010.906599999998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521</v>
      </c>
      <c r="K26" s="2" t="s">
        <v>522</v>
      </c>
      <c r="L26" s="2" t="s">
        <v>523</v>
      </c>
      <c r="M26" s="2" t="s">
        <v>524</v>
      </c>
      <c r="N26" s="2" t="s">
        <v>525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92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91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>
        <v>16</v>
      </c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>
        <v>10</v>
      </c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14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521</v>
      </c>
      <c r="K39" s="2" t="s">
        <v>522</v>
      </c>
      <c r="L39" s="2" t="s">
        <v>523</v>
      </c>
      <c r="M39" s="2" t="s">
        <v>524</v>
      </c>
      <c r="N39" s="2" t="s">
        <v>525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30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521</v>
      </c>
      <c r="K48" s="2" t="s">
        <v>522</v>
      </c>
      <c r="L48" s="2" t="s">
        <v>523</v>
      </c>
      <c r="M48" s="2" t="s">
        <v>524</v>
      </c>
      <c r="N48" s="2" t="s">
        <v>525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716553.50300000003</v>
      </c>
      <c r="K56" s="2">
        <f>SUM(K4:K52)</f>
        <v>712026.91</v>
      </c>
      <c r="L56" s="2">
        <f>SUM(L4:L52)</f>
        <v>714590.76</v>
      </c>
      <c r="M56" s="2">
        <f>SUM(M4:M52)</f>
        <v>711857.62</v>
      </c>
      <c r="N56" s="2">
        <f>SUM(N4:N52)</f>
        <v>707566.27</v>
      </c>
      <c r="O56" s="38">
        <f>AVERAGE(J56:N56)</f>
        <v>712519.01260000013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0.97187155890576948</v>
      </c>
      <c r="K58" s="104">
        <f>SUM(K4:K18)/K56</f>
        <v>0.97185640076440372</v>
      </c>
      <c r="L58" s="104">
        <f>SUM(L4:L18)/L56</f>
        <v>0.9719531777880811</v>
      </c>
      <c r="M58" s="104">
        <f>SUM(M4:M18)/M56</f>
        <v>0.97197894713833366</v>
      </c>
      <c r="N58" s="104">
        <f>SUM(N4:N18)/N56</f>
        <v>0.97191641144793406</v>
      </c>
      <c r="O58" s="38">
        <f>AVERAGE(J58:N58)</f>
        <v>0.97191529920890429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70'!A1" display="Next"/>
    <hyperlink ref="B4" location="'c160'!A1" display="Prev"/>
    <hyperlink ref="B10:B11" location="'Index of Integers'!A259" display="Index of Integers"/>
    <hyperlink ref="B13:B14" location="'Index of Parameters'!AA2" display="Index of Parameters"/>
    <hyperlink ref="B16:B17" location="'Index of Results'!AA2" display="Index of Results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4" width="10.5703125" style="24" bestFit="1" customWidth="1"/>
    <col min="15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23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541</v>
      </c>
      <c r="K3" s="2" t="s">
        <v>542</v>
      </c>
      <c r="L3" s="2" t="s">
        <v>543</v>
      </c>
      <c r="M3" s="2" t="s">
        <v>544</v>
      </c>
      <c r="N3" s="2" t="s">
        <v>545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127">
        <v>1522430</v>
      </c>
      <c r="K4" s="128">
        <v>1518410</v>
      </c>
      <c r="L4" s="128">
        <v>1519220</v>
      </c>
      <c r="M4" s="128">
        <v>1520160</v>
      </c>
      <c r="N4" s="129">
        <v>1516690</v>
      </c>
      <c r="O4" s="33">
        <f>AVERAGE(J4:N4)</f>
        <v>1519382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3000000</v>
      </c>
      <c r="G7" s="21" t="s">
        <v>1370</v>
      </c>
      <c r="H7" s="21">
        <v>1000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1500000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7278.51</v>
      </c>
      <c r="K13" s="33">
        <v>7204.08</v>
      </c>
      <c r="L13" s="33">
        <v>6727.22</v>
      </c>
      <c r="M13" s="33">
        <v>6308.26</v>
      </c>
      <c r="N13" s="34">
        <v>7435.33</v>
      </c>
      <c r="O13" s="33">
        <f>AVERAGE(J13:N13)</f>
        <v>6990.68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1.34E-11</v>
      </c>
      <c r="K21" s="110">
        <v>1.28E-11</v>
      </c>
      <c r="L21" s="110">
        <v>1.4700000000000002E-11</v>
      </c>
      <c r="M21" s="110">
        <v>1.36E-11</v>
      </c>
      <c r="N21" s="110">
        <v>1.38E-11</v>
      </c>
      <c r="O21" s="38">
        <f>AVERAGE(J21:N21)</f>
        <v>1.3660000000000003E-11</v>
      </c>
    </row>
    <row r="23" spans="2:16" x14ac:dyDescent="0.25">
      <c r="I23" s="120" t="s">
        <v>1471</v>
      </c>
      <c r="J23" s="119">
        <v>43931</v>
      </c>
      <c r="K23" s="119">
        <v>43893</v>
      </c>
      <c r="L23" s="119">
        <v>43854</v>
      </c>
      <c r="M23" s="119">
        <v>43898</v>
      </c>
      <c r="N23" s="119">
        <v>43811</v>
      </c>
      <c r="O23" s="38">
        <f>AVERAGE(J23:N23)</f>
        <v>43877.4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541</v>
      </c>
      <c r="K26" s="2" t="s">
        <v>542</v>
      </c>
      <c r="L26" s="2" t="s">
        <v>543</v>
      </c>
      <c r="M26" s="2" t="s">
        <v>544</v>
      </c>
      <c r="N26" s="2" t="s">
        <v>545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62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93</v>
      </c>
      <c r="G29" s="5" t="s">
        <v>1383</v>
      </c>
      <c r="H29" s="5">
        <v>5000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/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15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541</v>
      </c>
      <c r="K39" s="2" t="s">
        <v>542</v>
      </c>
      <c r="L39" s="2" t="s">
        <v>543</v>
      </c>
      <c r="M39" s="2" t="s">
        <v>544</v>
      </c>
      <c r="N39" s="2" t="s">
        <v>545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30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541</v>
      </c>
      <c r="K48" s="2" t="s">
        <v>542</v>
      </c>
      <c r="L48" s="2" t="s">
        <v>543</v>
      </c>
      <c r="M48" s="2" t="s">
        <v>544</v>
      </c>
      <c r="N48" s="2" t="s">
        <v>545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1573639.51</v>
      </c>
      <c r="K56" s="2">
        <f>SUM(K4:K52)</f>
        <v>1569507.08</v>
      </c>
      <c r="L56" s="2">
        <f>SUM(L4:L52)</f>
        <v>1569801.22</v>
      </c>
      <c r="M56" s="2">
        <f>SUM(M4:M52)</f>
        <v>1570366.26</v>
      </c>
      <c r="N56" s="2">
        <f>SUM(N4:N52)</f>
        <v>1567936.33</v>
      </c>
      <c r="O56" s="38">
        <f>AVERAGE(J56:N56)</f>
        <v>1570250.0799999998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0.97208318695556906</v>
      </c>
      <c r="K58" s="104">
        <f>SUM(K4:K18)/K56</f>
        <v>0.97203389487099356</v>
      </c>
      <c r="L58" s="104">
        <f>SUM(L4:L18)/L56</f>
        <v>0.97206397890301044</v>
      </c>
      <c r="M58" s="104">
        <f>SUM(M4:M18)/M56</f>
        <v>0.97204601173741467</v>
      </c>
      <c r="N58" s="104">
        <f>SUM(N4:N18)/N56</f>
        <v>0.97205817662251626</v>
      </c>
      <c r="O58" s="38">
        <f>AVERAGE(J58:N58)</f>
        <v>0.97205704981790075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75'!A1" display="Next"/>
    <hyperlink ref="B4" location="'c165'!A1" display="Prev"/>
    <hyperlink ref="B10:B11" location="'Index of Integers'!A270" display="Index of Integers"/>
    <hyperlink ref="B13:B14" location="'Index of Parameters'!AB2" display="Index of Parameters"/>
    <hyperlink ref="B16:B17" location="'Index of Results'!AB2" display="Index of Results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1" width="10.5703125" style="24" bestFit="1" customWidth="1"/>
    <col min="12" max="12" width="8.85546875" style="24"/>
    <col min="13" max="13" width="11" style="24" bestFit="1" customWidth="1"/>
    <col min="14" max="14" width="10.5703125" style="24" bestFit="1" customWidth="1"/>
    <col min="15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24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561</v>
      </c>
      <c r="K3" s="2" t="s">
        <v>562</v>
      </c>
      <c r="L3" s="2" t="s">
        <v>563</v>
      </c>
      <c r="M3" s="2" t="s">
        <v>564</v>
      </c>
      <c r="N3" s="2" t="s">
        <v>565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130">
        <v>3948460</v>
      </c>
      <c r="K4" s="128">
        <v>3952520</v>
      </c>
      <c r="L4" s="131">
        <v>3941700</v>
      </c>
      <c r="M4" s="128">
        <v>3929230</v>
      </c>
      <c r="N4" s="129">
        <v>3922780</v>
      </c>
      <c r="O4" s="33">
        <f>AVERAGE(J4:N4)</f>
        <v>3938938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20000000</v>
      </c>
      <c r="G7" s="21" t="s">
        <v>1370</v>
      </c>
      <c r="H7" s="21">
        <v>100000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2000000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1000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5733.09</v>
      </c>
      <c r="K13" s="33">
        <v>6485.77</v>
      </c>
      <c r="L13" s="33">
        <v>6229.87</v>
      </c>
      <c r="M13" s="33">
        <v>5814.67</v>
      </c>
      <c r="N13" s="34">
        <v>5765.7</v>
      </c>
      <c r="O13" s="33">
        <f>AVERAGE(J13:N13)</f>
        <v>6005.8200000000006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9.5500000000000003E-12</v>
      </c>
      <c r="K21" s="110">
        <f>0.00000000000973</f>
        <v>9.7299999999999999E-12</v>
      </c>
      <c r="L21" s="110">
        <v>9.5600000000000005E-12</v>
      </c>
      <c r="M21" s="110">
        <v>1.0499999999999999E-11</v>
      </c>
      <c r="N21" s="110">
        <v>9.9999999999999994E-12</v>
      </c>
      <c r="O21" s="38">
        <f>AVERAGE(J21:N21)</f>
        <v>9.8679999999999996E-12</v>
      </c>
    </row>
    <row r="23" spans="2:16" x14ac:dyDescent="0.25">
      <c r="I23" s="120" t="s">
        <v>1471</v>
      </c>
      <c r="J23" s="119">
        <v>126116</v>
      </c>
      <c r="K23" s="119">
        <v>117782</v>
      </c>
      <c r="L23" s="119">
        <v>117123</v>
      </c>
      <c r="M23" s="119">
        <v>116837</v>
      </c>
      <c r="N23" s="119">
        <v>116175</v>
      </c>
      <c r="O23" s="38">
        <f>AVERAGE(J23:N23)</f>
        <v>118806.6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561</v>
      </c>
      <c r="K26" s="2" t="s">
        <v>562</v>
      </c>
      <c r="L26" s="2" t="s">
        <v>563</v>
      </c>
      <c r="M26" s="2" t="s">
        <v>564</v>
      </c>
      <c r="N26" s="2" t="s">
        <v>565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62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93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/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15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561</v>
      </c>
      <c r="K39" s="2" t="s">
        <v>562</v>
      </c>
      <c r="L39" s="2" t="s">
        <v>563</v>
      </c>
      <c r="M39" s="2" t="s">
        <v>564</v>
      </c>
      <c r="N39" s="2" t="s">
        <v>565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30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561</v>
      </c>
      <c r="K48" s="2" t="s">
        <v>562</v>
      </c>
      <c r="L48" s="2" t="s">
        <v>563</v>
      </c>
      <c r="M48" s="2" t="s">
        <v>564</v>
      </c>
      <c r="N48" s="2" t="s">
        <v>565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4080309.09</v>
      </c>
      <c r="K56" s="2">
        <f>SUM(K4:K52)</f>
        <v>4076787.77</v>
      </c>
      <c r="L56" s="2">
        <f>SUM(L4:L52)</f>
        <v>4065052.87</v>
      </c>
      <c r="M56" s="2">
        <f>SUM(M4:M52)</f>
        <v>4051881.67</v>
      </c>
      <c r="N56" s="2">
        <f>SUM(N4:N52)</f>
        <v>4044720.7</v>
      </c>
      <c r="O56" s="38">
        <f>AVERAGE(J56:N56)</f>
        <v>4063750.4200000004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0.96909155722808249</v>
      </c>
      <c r="K58" s="104">
        <f>SUM(K4:K18)/K56</f>
        <v>0.97110911662688781</v>
      </c>
      <c r="L58" s="104">
        <f>SUM(L4:L18)/L56</f>
        <v>0.97118782860996344</v>
      </c>
      <c r="M58" s="104">
        <f>SUM(M4:M18)/M56</f>
        <v>0.97116475516423462</v>
      </c>
      <c r="N58" s="104">
        <f>SUM(N4:N18)/N56</f>
        <v>0.97127737398530389</v>
      </c>
      <c r="O58" s="38">
        <f>AVERAGE(J58:N58)</f>
        <v>0.97076612632289438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80'!A1" display="Next"/>
    <hyperlink ref="B4" location="'c170'!A1" display="Prev"/>
    <hyperlink ref="B10:B11" location="'Index of Integers'!A281" display="Index of Integers"/>
    <hyperlink ref="B13:B14" location="'Index of Parameters'!AC2" display="Index of Parameters"/>
    <hyperlink ref="B16:B17" location="'Index of Results'!AC2" display="Index of Results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1" width="8.85546875" style="24"/>
    <col min="12" max="14" width="10.5703125" style="24" bestFit="1" customWidth="1"/>
    <col min="15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25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581</v>
      </c>
      <c r="K3" s="2" t="s">
        <v>582</v>
      </c>
      <c r="L3" s="2" t="s">
        <v>583</v>
      </c>
      <c r="M3" s="2" t="s">
        <v>584</v>
      </c>
      <c r="N3" s="2" t="s">
        <v>585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130">
        <v>2318960</v>
      </c>
      <c r="K4" s="131">
        <v>2328610</v>
      </c>
      <c r="L4" s="128">
        <v>2321580</v>
      </c>
      <c r="M4" s="128">
        <v>2323300</v>
      </c>
      <c r="N4" s="129">
        <v>2322490</v>
      </c>
      <c r="O4" s="33">
        <f>AVERAGE(J4:N4)</f>
        <v>2322988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5000000</v>
      </c>
      <c r="G7" s="21" t="s">
        <v>1370</v>
      </c>
      <c r="H7" s="21">
        <v>5000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5000000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1000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8373.9599999999991</v>
      </c>
      <c r="K13" s="33">
        <v>9774.02</v>
      </c>
      <c r="L13" s="33">
        <v>9615.17</v>
      </c>
      <c r="M13" s="33">
        <v>9658.01</v>
      </c>
      <c r="N13" s="34">
        <v>9808.14</v>
      </c>
      <c r="O13" s="33">
        <f>AVERAGE(J13:N13)</f>
        <v>9445.86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3.7400000000000001E-11</v>
      </c>
      <c r="K21" s="110">
        <v>3.9899999999999999E-11</v>
      </c>
      <c r="L21" s="110">
        <v>3.55E-11</v>
      </c>
      <c r="M21" s="110">
        <v>3.7700000000000003E-11</v>
      </c>
      <c r="N21" s="110">
        <v>3.6799999999999998E-11</v>
      </c>
      <c r="O21" s="38">
        <f>AVERAGE(J21:N21)</f>
        <v>3.7460000000000006E-11</v>
      </c>
    </row>
    <row r="23" spans="2:16" x14ac:dyDescent="0.25">
      <c r="I23" s="120" t="s">
        <v>1471</v>
      </c>
      <c r="J23" s="119">
        <v>66438</v>
      </c>
      <c r="K23" s="119">
        <v>66582</v>
      </c>
      <c r="L23" s="119">
        <v>66699</v>
      </c>
      <c r="M23" s="119">
        <v>66649</v>
      </c>
      <c r="N23" s="119">
        <v>66565</v>
      </c>
      <c r="O23" s="38">
        <f>AVERAGE(J23:N23)</f>
        <v>66586.600000000006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581</v>
      </c>
      <c r="K26" s="2" t="s">
        <v>582</v>
      </c>
      <c r="L26" s="2" t="s">
        <v>583</v>
      </c>
      <c r="M26" s="2" t="s">
        <v>584</v>
      </c>
      <c r="N26" s="2" t="s">
        <v>585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92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99</v>
      </c>
      <c r="G29" s="5" t="s">
        <v>1383</v>
      </c>
      <c r="H29" s="5">
        <v>5000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>
        <v>12</v>
      </c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>
        <v>11</v>
      </c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14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581</v>
      </c>
      <c r="K39" s="2" t="s">
        <v>582</v>
      </c>
      <c r="L39" s="2" t="s">
        <v>583</v>
      </c>
      <c r="M39" s="2" t="s">
        <v>584</v>
      </c>
      <c r="N39" s="2" t="s">
        <v>585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35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581</v>
      </c>
      <c r="K48" s="2" t="s">
        <v>582</v>
      </c>
      <c r="L48" s="2" t="s">
        <v>583</v>
      </c>
      <c r="M48" s="2" t="s">
        <v>584</v>
      </c>
      <c r="N48" s="2" t="s">
        <v>585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2393771.96</v>
      </c>
      <c r="K56" s="2">
        <f>SUM(K4:K52)</f>
        <v>2404966.02</v>
      </c>
      <c r="L56" s="2">
        <f>SUM(L4:L52)</f>
        <v>2397894.17</v>
      </c>
      <c r="M56" s="2">
        <f>SUM(M4:M52)</f>
        <v>2399607.0099999998</v>
      </c>
      <c r="N56" s="2">
        <f>SUM(N4:N52)</f>
        <v>2398863.14</v>
      </c>
      <c r="O56" s="38">
        <f>AVERAGE(J56:N56)</f>
        <v>2399020.46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0.97224547654906945</v>
      </c>
      <c r="K58" s="104">
        <f>SUM(K4:K18)/K56</f>
        <v>0.97231478555360218</v>
      </c>
      <c r="L58" s="104">
        <f>SUM(L4:L18)/L56</f>
        <v>0.97218434373190044</v>
      </c>
      <c r="M58" s="104">
        <f>SUM(M4:M18)/M56</f>
        <v>0.9722250352985925</v>
      </c>
      <c r="N58" s="104">
        <f>SUM(N4:N18)/N56</f>
        <v>0.97225143907125944</v>
      </c>
      <c r="O58" s="38">
        <f>AVERAGE(J58:N58)</f>
        <v>0.97224421604088485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85'!A1" display="Next"/>
    <hyperlink ref="B4" location="'c175'!A1" display="Prev"/>
    <hyperlink ref="B10:B11" location="'Index of Integers'!A292" display="Index of Integers"/>
    <hyperlink ref="B13:B14" location="'Index of Parameters'!AD2" display="Index of Parameters"/>
    <hyperlink ref="B16:B17" location="'Index of Results'!AD2" display="Index of Results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1" width="10.5703125" style="24" bestFit="1" customWidth="1"/>
    <col min="12" max="12" width="8.85546875" style="24"/>
    <col min="13" max="14" width="10.5703125" style="24" bestFit="1" customWidth="1"/>
    <col min="15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26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601</v>
      </c>
      <c r="K3" s="2" t="s">
        <v>602</v>
      </c>
      <c r="L3" s="2" t="s">
        <v>603</v>
      </c>
      <c r="M3" s="2" t="s">
        <v>604</v>
      </c>
      <c r="N3" s="2" t="s">
        <v>605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127">
        <v>1058750</v>
      </c>
      <c r="K4" s="128">
        <v>1061330</v>
      </c>
      <c r="L4" s="131">
        <v>1062630</v>
      </c>
      <c r="M4" s="128">
        <v>1056440</v>
      </c>
      <c r="N4" s="129">
        <v>1057220</v>
      </c>
      <c r="O4" s="33">
        <f>AVERAGE(J4:N4)</f>
        <v>1059274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27720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300000000</v>
      </c>
      <c r="G7" s="21" t="s">
        <v>1370</v>
      </c>
      <c r="H7" s="21">
        <v>300000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5000000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9498.86</v>
      </c>
      <c r="K13" s="33">
        <v>6614.83</v>
      </c>
      <c r="L13" s="33">
        <v>8275.84</v>
      </c>
      <c r="M13" s="33">
        <v>8903.98</v>
      </c>
      <c r="N13" s="34">
        <v>8979.74</v>
      </c>
      <c r="O13" s="33">
        <f>AVERAGE(J13:N13)</f>
        <v>8454.6499999999978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4.3300000000000003E-12</v>
      </c>
      <c r="K21" s="110">
        <v>4.5999999999999998E-12</v>
      </c>
      <c r="L21" s="110">
        <v>4.46E-12</v>
      </c>
      <c r="M21" s="110">
        <v>4.5399999999999996E-12</v>
      </c>
      <c r="N21" s="110">
        <v>4.8300000000000002E-12</v>
      </c>
      <c r="O21" s="38">
        <f>AVERAGE(J21:N21)</f>
        <v>4.552E-12</v>
      </c>
    </row>
    <row r="23" spans="2:16" x14ac:dyDescent="0.25">
      <c r="I23" s="120" t="s">
        <v>1471</v>
      </c>
      <c r="J23" s="119">
        <v>31709</v>
      </c>
      <c r="K23" s="119">
        <v>31957</v>
      </c>
      <c r="L23" s="119">
        <v>31659</v>
      </c>
      <c r="M23" s="119">
        <v>31613</v>
      </c>
      <c r="N23" s="119">
        <v>31652</v>
      </c>
      <c r="O23" s="38">
        <f>AVERAGE(J23:N23)</f>
        <v>31718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601</v>
      </c>
      <c r="K26" s="2" t="s">
        <v>602</v>
      </c>
      <c r="L26" s="2" t="s">
        <v>603</v>
      </c>
      <c r="M26" s="2" t="s">
        <v>604</v>
      </c>
      <c r="N26" s="2" t="s">
        <v>605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64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96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/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15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601</v>
      </c>
      <c r="K39" s="2" t="s">
        <v>602</v>
      </c>
      <c r="L39" s="2" t="s">
        <v>603</v>
      </c>
      <c r="M39" s="2" t="s">
        <v>604</v>
      </c>
      <c r="N39" s="2" t="s">
        <v>605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35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601</v>
      </c>
      <c r="K48" s="2" t="s">
        <v>602</v>
      </c>
      <c r="L48" s="2" t="s">
        <v>603</v>
      </c>
      <c r="M48" s="2" t="s">
        <v>604</v>
      </c>
      <c r="N48" s="2" t="s">
        <v>605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1099957.8600000001</v>
      </c>
      <c r="K56" s="2">
        <f>SUM(K4:K52)</f>
        <v>1099901.83</v>
      </c>
      <c r="L56" s="2">
        <f>SUM(L4:L52)</f>
        <v>1102564.8400000001</v>
      </c>
      <c r="M56" s="2">
        <f>SUM(M4:M52)</f>
        <v>1096956.98</v>
      </c>
      <c r="N56" s="2">
        <f>SUM(N4:N52)</f>
        <v>1097851.74</v>
      </c>
      <c r="O56" s="38">
        <f>AVERAGE(J56:N56)</f>
        <v>1099446.6499999999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0.97117253200954445</v>
      </c>
      <c r="K58" s="104">
        <f>SUM(K4:K18)/K56</f>
        <v>0.97094558884405169</v>
      </c>
      <c r="L58" s="104">
        <f>SUM(L4:L18)/L56</f>
        <v>0.97128604246077721</v>
      </c>
      <c r="M58" s="104">
        <f>SUM(M4:M18)/M56</f>
        <v>0.97118118524575137</v>
      </c>
      <c r="N58" s="104">
        <f>SUM(N4:N18)/N56</f>
        <v>0.97116914894173234</v>
      </c>
      <c r="O58" s="38">
        <f>AVERAGE(J58:N58)</f>
        <v>0.97115089950037137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90'!A1" display="Next"/>
    <hyperlink ref="B4" location="'c180'!A1" display="Prev"/>
    <hyperlink ref="B10:B11" location="'Index of Integers'!A303" display="Index of Integers"/>
    <hyperlink ref="B13:B14" location="'Index of Parameters'!AE2" display="Index of Parameters"/>
    <hyperlink ref="B16:B17" location="'Index of Results'!AE2" display="Index of Results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2" width="8.85546875" style="24"/>
    <col min="13" max="13" width="10.5703125" style="24" bestFit="1" customWidth="1"/>
    <col min="14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27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621</v>
      </c>
      <c r="K3" s="2" t="s">
        <v>622</v>
      </c>
      <c r="L3" s="2" t="s">
        <v>623</v>
      </c>
      <c r="M3" s="2" t="s">
        <v>624</v>
      </c>
      <c r="N3" s="2" t="s">
        <v>625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130">
        <v>6683740</v>
      </c>
      <c r="K4" s="131">
        <v>6670940</v>
      </c>
      <c r="L4" s="131">
        <v>6673420</v>
      </c>
      <c r="M4" s="128">
        <v>6680800</v>
      </c>
      <c r="N4" s="134">
        <v>6688180</v>
      </c>
      <c r="O4" s="33">
        <f>AVERAGE(J4:N4)</f>
        <v>6679416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420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30000000</v>
      </c>
      <c r="G7" s="21" t="s">
        <v>1370</v>
      </c>
      <c r="H7" s="21">
        <v>4200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5000000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>
        <v>12371.4</v>
      </c>
      <c r="K13" s="33">
        <v>13095.5</v>
      </c>
      <c r="L13" s="33">
        <v>12509.6</v>
      </c>
      <c r="M13" s="33">
        <v>12200.9</v>
      </c>
      <c r="N13" s="34">
        <v>13605.5</v>
      </c>
      <c r="O13" s="33">
        <f>AVERAGE(J13:N13)</f>
        <v>12756.58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>
        <v>8.9500000000000004E-12</v>
      </c>
      <c r="K21" s="110">
        <v>8.7999999999999997E-12</v>
      </c>
      <c r="L21" s="110">
        <v>9.1600000000000006E-12</v>
      </c>
      <c r="M21" s="110">
        <v>9.1700000000000007E-12</v>
      </c>
      <c r="N21" s="110">
        <v>8.2500000000000006E-12</v>
      </c>
      <c r="O21" s="38">
        <f>AVERAGE(J21:N21)</f>
        <v>8.8660000000000004E-12</v>
      </c>
    </row>
    <row r="23" spans="2:16" x14ac:dyDescent="0.25">
      <c r="I23" s="120" t="s">
        <v>1471</v>
      </c>
      <c r="J23" s="119">
        <v>197070</v>
      </c>
      <c r="K23" s="119">
        <v>196908</v>
      </c>
      <c r="L23" s="119">
        <v>196494</v>
      </c>
      <c r="M23" s="119">
        <v>196912</v>
      </c>
      <c r="N23" s="119">
        <v>197157</v>
      </c>
      <c r="O23" s="38">
        <f>AVERAGE(J23:N23)</f>
        <v>196908.2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621</v>
      </c>
      <c r="K26" s="2" t="s">
        <v>622</v>
      </c>
      <c r="L26" s="2" t="s">
        <v>623</v>
      </c>
      <c r="M26" s="2" t="s">
        <v>624</v>
      </c>
      <c r="N26" s="2" t="s">
        <v>625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85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96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>
        <v>13</v>
      </c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>
        <v>13</v>
      </c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15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621</v>
      </c>
      <c r="K39" s="2" t="s">
        <v>622</v>
      </c>
      <c r="L39" s="2" t="s">
        <v>623</v>
      </c>
      <c r="M39" s="2" t="s">
        <v>624</v>
      </c>
      <c r="N39" s="2" t="s">
        <v>625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35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621</v>
      </c>
      <c r="K48" s="2" t="s">
        <v>622</v>
      </c>
      <c r="L48" s="2" t="s">
        <v>623</v>
      </c>
      <c r="M48" s="2" t="s">
        <v>624</v>
      </c>
      <c r="N48" s="2" t="s">
        <v>625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6893181.4000000004</v>
      </c>
      <c r="K56" s="2">
        <f>SUM(K4:K52)</f>
        <v>6880943.5</v>
      </c>
      <c r="L56" s="2">
        <f>SUM(L4:L52)</f>
        <v>6882423.5999999996</v>
      </c>
      <c r="M56" s="2">
        <f>SUM(M4:M52)</f>
        <v>6889912.9000000004</v>
      </c>
      <c r="N56" s="2">
        <f>SUM(N4:N52)</f>
        <v>6898942.5</v>
      </c>
      <c r="O56" s="38">
        <f>AVERAGE(J56:N56)</f>
        <v>6889080.7799999993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>
        <f>SUM(J4:J18)/J56</f>
        <v>0.97141087858213049</v>
      </c>
      <c r="K58" s="104">
        <f>SUM(K4:K18)/K56</f>
        <v>0.97138357552274623</v>
      </c>
      <c r="L58" s="104">
        <f>SUM(L4:L18)/L56</f>
        <v>0.97144988285812572</v>
      </c>
      <c r="M58" s="104">
        <f>SUM(M4:M18)/M56</f>
        <v>0.9714202482878993</v>
      </c>
      <c r="N58" s="104">
        <f>SUM(N4:N18)/N56</f>
        <v>0.97142214187174336</v>
      </c>
      <c r="O58" s="38">
        <f>AVERAGE(J58:N58)</f>
        <v>0.97141734542452907</v>
      </c>
    </row>
    <row r="59" spans="4:16" x14ac:dyDescent="0.25">
      <c r="I59" s="107" t="s">
        <v>45</v>
      </c>
      <c r="J59" s="105">
        <f>J27/J56</f>
        <v>0</v>
      </c>
      <c r="K59" s="105">
        <f t="shared" ref="K59:N59" si="0">K27/K56</f>
        <v>0</v>
      </c>
      <c r="L59" s="105">
        <f t="shared" si="0"/>
        <v>0</v>
      </c>
      <c r="M59" s="105">
        <f t="shared" si="0"/>
        <v>0</v>
      </c>
      <c r="N59" s="105">
        <f t="shared" si="0"/>
        <v>0</v>
      </c>
      <c r="O59" s="38">
        <f>AVERAGE(J59:N59)</f>
        <v>0</v>
      </c>
    </row>
    <row r="60" spans="4:16" x14ac:dyDescent="0.25">
      <c r="I60" s="108" t="s">
        <v>46</v>
      </c>
      <c r="J60" s="102">
        <f>SUM(J40:J44)/J56</f>
        <v>0</v>
      </c>
      <c r="K60" s="102">
        <f>SUM(K40:K44)/K56</f>
        <v>0</v>
      </c>
      <c r="L60" s="102">
        <f>SUM(L40:L44)/L56</f>
        <v>0</v>
      </c>
      <c r="M60" s="102">
        <f>SUM(M40:M44)/M56</f>
        <v>0</v>
      </c>
      <c r="N60" s="102">
        <f>SUM(N40:N44)/N56</f>
        <v>0</v>
      </c>
      <c r="O60" s="38">
        <f>AVERAGE(J60:N60)</f>
        <v>0</v>
      </c>
    </row>
    <row r="61" spans="4:16" x14ac:dyDescent="0.25">
      <c r="I61" s="109" t="s">
        <v>1448</v>
      </c>
      <c r="J61" s="103">
        <f>SUM(J49:J51)/J56</f>
        <v>0</v>
      </c>
      <c r="K61" s="103">
        <f>SUM(K49:K51)/K56</f>
        <v>0</v>
      </c>
      <c r="L61" s="103">
        <f>SUM(L49:L51)/L56</f>
        <v>0</v>
      </c>
      <c r="M61" s="103">
        <f>SUM(M49:M51)/M56</f>
        <v>0</v>
      </c>
      <c r="N61" s="103">
        <f>SUM(N49:N51)/N56</f>
        <v>0</v>
      </c>
      <c r="O61" s="38">
        <f>AVERAGE(J61:N61)</f>
        <v>0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195'!A1" display="Next"/>
    <hyperlink ref="B4" location="'c185'!A1" display="Prev"/>
    <hyperlink ref="B10:B11" location="'Index of Integers'!A314" display="Index of Integers"/>
    <hyperlink ref="B13:B14" location="'Index of Parameters'!AF2" display="Index of Parameters"/>
    <hyperlink ref="B16:B17" location="'Index of Results'!AF2" display="Index of Results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70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28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641</v>
      </c>
      <c r="K3" s="2" t="s">
        <v>642</v>
      </c>
      <c r="L3" s="2" t="s">
        <v>643</v>
      </c>
      <c r="M3" s="2" t="s">
        <v>644</v>
      </c>
      <c r="N3" s="2" t="s">
        <v>645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50000000</v>
      </c>
      <c r="G7" s="21" t="s">
        <v>1370</v>
      </c>
      <c r="H7" s="21">
        <v>50000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1000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I23" s="120" t="s">
        <v>1471</v>
      </c>
      <c r="J23" s="119"/>
      <c r="K23" s="119"/>
      <c r="L23" s="119"/>
      <c r="M23" s="119"/>
      <c r="N23" s="119"/>
      <c r="O23" s="38" t="e">
        <f>AVERAGE(J23:N23)</f>
        <v>#DIV/0!</v>
      </c>
    </row>
    <row r="25" spans="2:16" x14ac:dyDescent="0.25">
      <c r="D25" s="2"/>
      <c r="E25" s="2"/>
      <c r="F25" s="2"/>
      <c r="G25" s="2"/>
      <c r="H25" s="2"/>
      <c r="I25" s="2"/>
      <c r="J25" s="2" t="s">
        <v>64</v>
      </c>
      <c r="K25" s="2"/>
      <c r="L25" s="2"/>
      <c r="M25" s="2"/>
      <c r="N25" s="2"/>
      <c r="O25" s="2"/>
    </row>
    <row r="26" spans="2:16" x14ac:dyDescent="0.25">
      <c r="D26" s="2"/>
      <c r="E26" s="138" t="s">
        <v>1364</v>
      </c>
      <c r="F26" s="138"/>
      <c r="G26" s="138"/>
      <c r="H26" s="53"/>
      <c r="I26" s="39" t="s">
        <v>1363</v>
      </c>
      <c r="J26" s="2" t="s">
        <v>641</v>
      </c>
      <c r="K26" s="2" t="s">
        <v>642</v>
      </c>
      <c r="L26" s="2" t="s">
        <v>643</v>
      </c>
      <c r="M26" s="2" t="s">
        <v>644</v>
      </c>
      <c r="N26" s="2" t="s">
        <v>645</v>
      </c>
      <c r="O26" s="28" t="s">
        <v>1454</v>
      </c>
      <c r="P26" s="40"/>
    </row>
    <row r="27" spans="2:16" x14ac:dyDescent="0.25">
      <c r="D27" s="142" t="s">
        <v>45</v>
      </c>
      <c r="E27" s="4" t="s">
        <v>1374</v>
      </c>
      <c r="F27" s="4"/>
      <c r="G27" s="4" t="s">
        <v>1365</v>
      </c>
      <c r="H27" s="4"/>
      <c r="I27" s="52" t="s">
        <v>45</v>
      </c>
      <c r="J27" s="29"/>
      <c r="K27" s="30"/>
      <c r="L27" s="30"/>
      <c r="M27" s="30"/>
      <c r="N27" s="31"/>
      <c r="O27" s="33" t="e">
        <f>AVERAGE(J27:N27)</f>
        <v>#DIV/0!</v>
      </c>
      <c r="P27" s="40"/>
    </row>
    <row r="28" spans="2:16" x14ac:dyDescent="0.25">
      <c r="D28" s="142"/>
      <c r="E28" s="5" t="s">
        <v>1376</v>
      </c>
      <c r="F28" s="5">
        <v>85</v>
      </c>
      <c r="G28" s="5" t="s">
        <v>1384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1377</v>
      </c>
      <c r="F29" s="5">
        <v>96</v>
      </c>
      <c r="G29" s="5" t="s">
        <v>1383</v>
      </c>
      <c r="H29" s="5">
        <v>10000</v>
      </c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1378</v>
      </c>
      <c r="F30" s="5"/>
      <c r="G30" s="5" t="s">
        <v>1373</v>
      </c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1379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1380</v>
      </c>
      <c r="F32" s="5">
        <v>13</v>
      </c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1381</v>
      </c>
      <c r="F33" s="5">
        <v>13</v>
      </c>
      <c r="G33" s="5"/>
      <c r="H33" s="5"/>
      <c r="I33" s="12"/>
      <c r="J33" s="43"/>
      <c r="K33" s="44"/>
      <c r="L33" s="44"/>
      <c r="M33" s="44"/>
      <c r="N33" s="45"/>
      <c r="O33" s="44"/>
      <c r="P33" s="40"/>
    </row>
    <row r="34" spans="4:16" x14ac:dyDescent="0.25">
      <c r="D34" s="142"/>
      <c r="E34" s="5" t="s">
        <v>1382</v>
      </c>
      <c r="F34" s="5"/>
      <c r="G34" s="5"/>
      <c r="H34" s="5"/>
      <c r="I34" s="12"/>
      <c r="J34" s="43"/>
      <c r="K34" s="44"/>
      <c r="L34" s="44"/>
      <c r="M34" s="44"/>
      <c r="N34" s="45"/>
      <c r="O34" s="44"/>
      <c r="P34" s="40"/>
    </row>
    <row r="35" spans="4:16" x14ac:dyDescent="0.25">
      <c r="D35" s="142"/>
      <c r="E35" s="5" t="s">
        <v>1375</v>
      </c>
      <c r="F35" s="5">
        <v>15</v>
      </c>
      <c r="G35" s="5"/>
      <c r="H35" s="5"/>
      <c r="I35" s="13"/>
      <c r="J35" s="46"/>
      <c r="K35" s="47"/>
      <c r="L35" s="47"/>
      <c r="M35" s="47"/>
      <c r="N35" s="48"/>
      <c r="O35" s="44"/>
      <c r="P35" s="40"/>
    </row>
    <row r="36" spans="4:16" x14ac:dyDescent="0.25">
      <c r="E36" s="40"/>
      <c r="F36" s="40"/>
      <c r="G36" s="40"/>
      <c r="H36" s="40"/>
      <c r="I36" s="40"/>
      <c r="J36" s="41"/>
      <c r="K36" s="40"/>
      <c r="L36" s="40"/>
      <c r="M36" s="40"/>
      <c r="N36" s="40"/>
      <c r="O36" s="40"/>
      <c r="P36" s="40"/>
    </row>
    <row r="38" spans="4:16" x14ac:dyDescent="0.25">
      <c r="D38" s="2"/>
      <c r="E38" s="2"/>
      <c r="F38" s="2"/>
      <c r="G38" s="2"/>
      <c r="H38" s="2"/>
      <c r="I38" s="2"/>
      <c r="J38" s="2" t="s">
        <v>64</v>
      </c>
      <c r="K38" s="2"/>
      <c r="L38" s="2"/>
      <c r="M38" s="2"/>
      <c r="N38" s="2"/>
      <c r="O38" s="2"/>
    </row>
    <row r="39" spans="4:16" x14ac:dyDescent="0.25">
      <c r="D39" s="2"/>
      <c r="E39" s="138" t="s">
        <v>1364</v>
      </c>
      <c r="F39" s="138"/>
      <c r="G39" s="138"/>
      <c r="H39" s="53"/>
      <c r="I39" s="39" t="s">
        <v>1363</v>
      </c>
      <c r="J39" s="2" t="s">
        <v>641</v>
      </c>
      <c r="K39" s="2" t="s">
        <v>642</v>
      </c>
      <c r="L39" s="2" t="s">
        <v>643</v>
      </c>
      <c r="M39" s="2" t="s">
        <v>644</v>
      </c>
      <c r="N39" s="2" t="s">
        <v>645</v>
      </c>
      <c r="O39" s="28" t="s">
        <v>1454</v>
      </c>
      <c r="P39" s="40"/>
    </row>
    <row r="40" spans="4:16" x14ac:dyDescent="0.25">
      <c r="D40" s="144" t="s">
        <v>46</v>
      </c>
      <c r="E40" s="6" t="s">
        <v>1385</v>
      </c>
      <c r="F40" s="6">
        <v>160</v>
      </c>
      <c r="G40" s="6"/>
      <c r="H40" s="6"/>
      <c r="I40" s="14" t="s">
        <v>47</v>
      </c>
      <c r="J40" s="29"/>
      <c r="K40" s="30"/>
      <c r="L40" s="30"/>
      <c r="M40" s="30"/>
      <c r="N40" s="31"/>
      <c r="O40" s="33" t="e">
        <f>AVERAGE(J40:N40)</f>
        <v>#DIV/0!</v>
      </c>
      <c r="P40" s="40"/>
    </row>
    <row r="41" spans="4:16" x14ac:dyDescent="0.25">
      <c r="D41" s="144"/>
      <c r="E41" s="6" t="s">
        <v>1386</v>
      </c>
      <c r="F41" s="6"/>
      <c r="G41" s="6"/>
      <c r="H41" s="6"/>
      <c r="I41" s="14" t="s">
        <v>48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1387</v>
      </c>
      <c r="F42" s="6">
        <v>35</v>
      </c>
      <c r="G42" s="6"/>
      <c r="H42" s="6"/>
      <c r="I42" s="15" t="s">
        <v>49</v>
      </c>
      <c r="J42" s="32"/>
      <c r="K42" s="33"/>
      <c r="L42" s="33"/>
      <c r="M42" s="33"/>
      <c r="N42" s="34"/>
      <c r="O42" s="33" t="e">
        <f>AVERAGE(J42:N42)</f>
        <v>#DIV/0!</v>
      </c>
      <c r="P42" s="40"/>
    </row>
    <row r="43" spans="4:16" x14ac:dyDescent="0.25">
      <c r="D43" s="144"/>
      <c r="E43" s="6" t="s">
        <v>1388</v>
      </c>
      <c r="F43" s="80">
        <v>170</v>
      </c>
      <c r="G43" s="6"/>
      <c r="H43" s="6"/>
      <c r="I43" s="16" t="s">
        <v>50</v>
      </c>
      <c r="J43" s="32"/>
      <c r="K43" s="33"/>
      <c r="L43" s="33"/>
      <c r="M43" s="33"/>
      <c r="N43" s="34"/>
      <c r="O43" s="33" t="e">
        <f>AVERAGE(J43:N43)</f>
        <v>#DIV/0!</v>
      </c>
      <c r="P43" s="40"/>
    </row>
    <row r="44" spans="4:16" x14ac:dyDescent="0.25">
      <c r="D44" s="144"/>
      <c r="E44" s="6" t="s">
        <v>1389</v>
      </c>
      <c r="F44" s="6"/>
      <c r="G44" s="6"/>
      <c r="H44" s="6"/>
      <c r="I44" s="16" t="s">
        <v>51</v>
      </c>
      <c r="J44" s="35"/>
      <c r="K44" s="28"/>
      <c r="L44" s="28"/>
      <c r="M44" s="28"/>
      <c r="N44" s="36"/>
      <c r="O44" s="33" t="e">
        <f>AVERAGE(J44:N44)</f>
        <v>#DIV/0!</v>
      </c>
      <c r="P44" s="40"/>
    </row>
    <row r="45" spans="4:16" x14ac:dyDescent="0.25">
      <c r="D45" s="26"/>
      <c r="E45" s="42"/>
      <c r="F45" s="42"/>
      <c r="G45" s="42"/>
      <c r="H45" s="42"/>
      <c r="I45" s="41"/>
      <c r="J45" s="41"/>
      <c r="K45" s="40"/>
      <c r="L45" s="40"/>
      <c r="M45" s="40"/>
      <c r="N45" s="40"/>
      <c r="O45" s="40"/>
      <c r="P45" s="40"/>
    </row>
    <row r="46" spans="4:16" x14ac:dyDescent="0.25"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25">
      <c r="D47" s="37"/>
      <c r="E47" s="37"/>
      <c r="F47" s="37"/>
      <c r="G47" s="37"/>
      <c r="H47" s="37"/>
      <c r="I47" s="37"/>
      <c r="J47" s="2" t="s">
        <v>64</v>
      </c>
      <c r="K47" s="2"/>
      <c r="L47" s="2"/>
      <c r="M47" s="2"/>
      <c r="N47" s="2"/>
      <c r="O47" s="2"/>
      <c r="P47" s="26"/>
    </row>
    <row r="48" spans="4:16" x14ac:dyDescent="0.25">
      <c r="D48" s="37"/>
      <c r="E48" s="138" t="s">
        <v>1364</v>
      </c>
      <c r="F48" s="138"/>
      <c r="G48" s="138"/>
      <c r="H48" s="53"/>
      <c r="I48" s="39" t="s">
        <v>1363</v>
      </c>
      <c r="J48" s="2" t="s">
        <v>641</v>
      </c>
      <c r="K48" s="2" t="s">
        <v>642</v>
      </c>
      <c r="L48" s="2" t="s">
        <v>643</v>
      </c>
      <c r="M48" s="2" t="s">
        <v>644</v>
      </c>
      <c r="N48" s="2" t="s">
        <v>645</v>
      </c>
      <c r="O48" s="28" t="s">
        <v>1454</v>
      </c>
      <c r="P48" s="40"/>
    </row>
    <row r="49" spans="4:16" x14ac:dyDescent="0.25">
      <c r="D49" s="143" t="s">
        <v>1448</v>
      </c>
      <c r="E49" s="8" t="s">
        <v>1374</v>
      </c>
      <c r="F49" s="8"/>
      <c r="G49" s="8" t="s">
        <v>1365</v>
      </c>
      <c r="H49" s="8"/>
      <c r="I49" s="17" t="s">
        <v>53</v>
      </c>
      <c r="J49" s="29"/>
      <c r="K49" s="30"/>
      <c r="L49" s="30"/>
      <c r="M49" s="30"/>
      <c r="N49" s="31"/>
      <c r="O49" s="33" t="e">
        <f>AVERAGE(J49:N49)</f>
        <v>#DIV/0!</v>
      </c>
      <c r="P49" s="40"/>
    </row>
    <row r="50" spans="4:16" x14ac:dyDescent="0.25">
      <c r="D50" s="143"/>
      <c r="E50" s="7" t="s">
        <v>1391</v>
      </c>
      <c r="F50" s="7">
        <v>1000</v>
      </c>
      <c r="G50" s="7" t="s">
        <v>1390</v>
      </c>
      <c r="H50" s="7"/>
      <c r="I50" s="18" t="s">
        <v>54</v>
      </c>
      <c r="J50" s="32"/>
      <c r="K50" s="33"/>
      <c r="L50" s="33"/>
      <c r="M50" s="33"/>
      <c r="N50" s="34"/>
      <c r="O50" s="33" t="e">
        <f>AVERAGE(J50:N50)</f>
        <v>#DIV/0!</v>
      </c>
      <c r="P50" s="40"/>
    </row>
    <row r="51" spans="4:16" x14ac:dyDescent="0.25">
      <c r="D51" s="143"/>
      <c r="E51" s="7" t="s">
        <v>1392</v>
      </c>
      <c r="F51" s="7">
        <v>0</v>
      </c>
      <c r="G51" s="7" t="s">
        <v>1396</v>
      </c>
      <c r="H51" s="7"/>
      <c r="I51" s="18" t="s">
        <v>55</v>
      </c>
      <c r="J51" s="32"/>
      <c r="K51" s="33"/>
      <c r="L51" s="33"/>
      <c r="M51" s="33"/>
      <c r="N51" s="34"/>
      <c r="O51" s="33" t="e">
        <f>AVERAGE(J51:N51)</f>
        <v>#DIV/0!</v>
      </c>
      <c r="P51" s="40"/>
    </row>
    <row r="52" spans="4:16" x14ac:dyDescent="0.25">
      <c r="D52" s="143"/>
      <c r="E52" s="7" t="s">
        <v>1393</v>
      </c>
      <c r="F52" s="7">
        <v>64</v>
      </c>
      <c r="G52" s="7"/>
      <c r="H52" s="7"/>
      <c r="I52" s="19"/>
      <c r="J52" s="49"/>
      <c r="K52" s="44"/>
      <c r="L52" s="44"/>
      <c r="M52" s="44"/>
      <c r="N52" s="45"/>
      <c r="O52" s="44"/>
      <c r="P52" s="40"/>
    </row>
    <row r="53" spans="4:16" x14ac:dyDescent="0.25">
      <c r="D53" s="143"/>
      <c r="E53" s="7" t="s">
        <v>1394</v>
      </c>
      <c r="F53" s="7">
        <v>64</v>
      </c>
      <c r="G53" s="7"/>
      <c r="H53" s="7"/>
      <c r="I53" s="19"/>
      <c r="J53" s="49"/>
      <c r="K53" s="44"/>
      <c r="L53" s="44"/>
      <c r="M53" s="44"/>
      <c r="N53" s="45"/>
      <c r="O53" s="44"/>
      <c r="P53" s="40"/>
    </row>
    <row r="54" spans="4:16" x14ac:dyDescent="0.25">
      <c r="D54" s="143"/>
      <c r="E54" s="7" t="s">
        <v>1395</v>
      </c>
      <c r="F54" s="7">
        <v>50</v>
      </c>
      <c r="G54" s="7"/>
      <c r="H54" s="7"/>
      <c r="I54" s="19"/>
      <c r="J54" s="50"/>
      <c r="K54" s="47"/>
      <c r="L54" s="47"/>
      <c r="M54" s="47"/>
      <c r="N54" s="48"/>
      <c r="O54" s="44"/>
      <c r="P54" s="40"/>
    </row>
    <row r="55" spans="4:16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4:16" x14ac:dyDescent="0.25">
      <c r="I56" s="51" t="s">
        <v>1449</v>
      </c>
      <c r="J56" s="2">
        <f>SUM(J4:J52)</f>
        <v>0</v>
      </c>
      <c r="K56" s="2">
        <f>SUM(K4:K52)</f>
        <v>0</v>
      </c>
      <c r="L56" s="2">
        <f>SUM(L4:L52)</f>
        <v>0</v>
      </c>
      <c r="M56" s="2">
        <f>SUM(M4:M52)</f>
        <v>0</v>
      </c>
      <c r="N56" s="2">
        <f>SUM(N4:N52)</f>
        <v>0</v>
      </c>
      <c r="O56" s="38">
        <f>AVERAGE(J56:N56)</f>
        <v>0</v>
      </c>
    </row>
    <row r="57" spans="4:16" x14ac:dyDescent="0.25">
      <c r="J57" s="2"/>
      <c r="K57" s="2"/>
      <c r="L57" s="2"/>
      <c r="M57" s="2"/>
      <c r="N57" s="2"/>
      <c r="O57" s="38"/>
    </row>
    <row r="58" spans="4:16" x14ac:dyDescent="0.25">
      <c r="I58" s="106" t="s">
        <v>40</v>
      </c>
      <c r="J58" s="104" t="e">
        <f>SUM(J4:J18)/J56</f>
        <v>#DIV/0!</v>
      </c>
      <c r="K58" s="104" t="e">
        <f>SUM(K4:K18)/K56</f>
        <v>#DIV/0!</v>
      </c>
      <c r="L58" s="104" t="e">
        <f>SUM(L4:L18)/L56</f>
        <v>#DIV/0!</v>
      </c>
      <c r="M58" s="104" t="e">
        <f>SUM(M4:M18)/M56</f>
        <v>#DIV/0!</v>
      </c>
      <c r="N58" s="104" t="e">
        <f>SUM(N4:N18)/N56</f>
        <v>#DIV/0!</v>
      </c>
      <c r="O58" s="38" t="e">
        <f>AVERAGE(J58:N58)</f>
        <v>#DIV/0!</v>
      </c>
    </row>
    <row r="59" spans="4:16" x14ac:dyDescent="0.25">
      <c r="I59" s="107" t="s">
        <v>45</v>
      </c>
      <c r="J59" s="105" t="e">
        <f>J27/J56</f>
        <v>#DIV/0!</v>
      </c>
      <c r="K59" s="105" t="e">
        <f t="shared" ref="K59:N59" si="0">K27/K56</f>
        <v>#DIV/0!</v>
      </c>
      <c r="L59" s="105" t="e">
        <f t="shared" si="0"/>
        <v>#DIV/0!</v>
      </c>
      <c r="M59" s="105" t="e">
        <f t="shared" si="0"/>
        <v>#DIV/0!</v>
      </c>
      <c r="N59" s="105" t="e">
        <f t="shared" si="0"/>
        <v>#DIV/0!</v>
      </c>
      <c r="O59" s="38" t="e">
        <f>AVERAGE(J59:N59)</f>
        <v>#DIV/0!</v>
      </c>
    </row>
    <row r="60" spans="4:16" x14ac:dyDescent="0.25">
      <c r="I60" s="108" t="s">
        <v>46</v>
      </c>
      <c r="J60" s="102" t="e">
        <f>SUM(J40:J44)/J56</f>
        <v>#DIV/0!</v>
      </c>
      <c r="K60" s="102" t="e">
        <f>SUM(K40:K44)/K56</f>
        <v>#DIV/0!</v>
      </c>
      <c r="L60" s="102" t="e">
        <f>SUM(L40:L44)/L56</f>
        <v>#DIV/0!</v>
      </c>
      <c r="M60" s="102" t="e">
        <f>SUM(M40:M44)/M56</f>
        <v>#DIV/0!</v>
      </c>
      <c r="N60" s="102" t="e">
        <f>SUM(N40:N44)/N56</f>
        <v>#DIV/0!</v>
      </c>
      <c r="O60" s="38" t="e">
        <f>AVERAGE(J60:N60)</f>
        <v>#DIV/0!</v>
      </c>
    </row>
    <row r="61" spans="4:16" x14ac:dyDescent="0.25">
      <c r="I61" s="109" t="s">
        <v>1448</v>
      </c>
      <c r="J61" s="103" t="e">
        <f>SUM(J49:J51)/J56</f>
        <v>#DIV/0!</v>
      </c>
      <c r="K61" s="103" t="e">
        <f>SUM(K49:K51)/K56</f>
        <v>#DIV/0!</v>
      </c>
      <c r="L61" s="103" t="e">
        <f>SUM(L49:L51)/L56</f>
        <v>#DIV/0!</v>
      </c>
      <c r="M61" s="103" t="e">
        <f>SUM(M49:M51)/M56</f>
        <v>#DIV/0!</v>
      </c>
      <c r="N61" s="103" t="e">
        <f>SUM(N49:N51)/N56</f>
        <v>#DIV/0!</v>
      </c>
      <c r="O61" s="38" t="e">
        <f>AVERAGE(J61:N61)</f>
        <v>#DIV/0!</v>
      </c>
    </row>
    <row r="62" spans="4:16" x14ac:dyDescent="0.25">
      <c r="I62" s="75"/>
      <c r="J62" s="2"/>
      <c r="K62" s="2"/>
      <c r="L62" s="2"/>
      <c r="M62" s="2"/>
      <c r="N62" s="2"/>
      <c r="O62" s="38"/>
    </row>
    <row r="63" spans="4:16" x14ac:dyDescent="0.25">
      <c r="I63" s="75"/>
      <c r="J63" s="27" t="e">
        <f>J59/J61</f>
        <v>#DIV/0!</v>
      </c>
      <c r="K63" s="27" t="e">
        <f t="shared" ref="K63:N63" si="1">K59/K61</f>
        <v>#DIV/0!</v>
      </c>
      <c r="L63" s="27" t="e">
        <f t="shared" si="1"/>
        <v>#DIV/0!</v>
      </c>
      <c r="M63" s="27" t="e">
        <f t="shared" si="1"/>
        <v>#DIV/0!</v>
      </c>
      <c r="N63" s="27" t="e">
        <f t="shared" si="1"/>
        <v>#DIV/0!</v>
      </c>
      <c r="O63" s="38" t="e">
        <f>AVERAGE(J63:N63)</f>
        <v>#DIV/0!</v>
      </c>
    </row>
    <row r="64" spans="4:16" x14ac:dyDescent="0.25">
      <c r="I64" s="75"/>
    </row>
    <row r="65" spans="4:9" x14ac:dyDescent="0.25">
      <c r="I65" s="75"/>
    </row>
    <row r="66" spans="4:9" x14ac:dyDescent="0.25">
      <c r="I66" s="75"/>
    </row>
    <row r="67" spans="4:9" x14ac:dyDescent="0.25">
      <c r="D67" s="2"/>
      <c r="E67" s="39" t="s">
        <v>1451</v>
      </c>
      <c r="F67" s="60"/>
      <c r="G67" s="60"/>
      <c r="H67" s="75"/>
    </row>
    <row r="68" spans="4:9" x14ac:dyDescent="0.25">
      <c r="D68" s="2"/>
      <c r="E68" s="2" t="s">
        <v>1453</v>
      </c>
      <c r="F68" s="60">
        <v>1</v>
      </c>
      <c r="G68" s="54" t="s">
        <v>1452</v>
      </c>
      <c r="H68" s="66"/>
    </row>
    <row r="69" spans="4:9" x14ac:dyDescent="0.25">
      <c r="D69" s="2"/>
      <c r="E69" s="2" t="s">
        <v>1453</v>
      </c>
      <c r="F69" s="60">
        <v>18</v>
      </c>
      <c r="G69" s="54" t="s">
        <v>1472</v>
      </c>
      <c r="H69" s="66"/>
    </row>
    <row r="70" spans="4:9" x14ac:dyDescent="0.25">
      <c r="E70" s="40"/>
      <c r="F70" s="40"/>
      <c r="G70" s="40"/>
      <c r="H70" s="40"/>
    </row>
  </sheetData>
  <mergeCells count="11">
    <mergeCell ref="E3:G3"/>
    <mergeCell ref="D4:D18"/>
    <mergeCell ref="E26:G26"/>
    <mergeCell ref="D27:D35"/>
    <mergeCell ref="E39:G39"/>
    <mergeCell ref="E48:G48"/>
    <mergeCell ref="D49:D54"/>
    <mergeCell ref="B10:B11"/>
    <mergeCell ref="B13:B14"/>
    <mergeCell ref="B16:B17"/>
    <mergeCell ref="D40:D44"/>
  </mergeCells>
  <hyperlinks>
    <hyperlink ref="B6" location="Contents!A1" display="Contents"/>
    <hyperlink ref="B8" location="'c200'!A1" display="Next"/>
    <hyperlink ref="B4" location="'c190'!A1" display="Prev"/>
    <hyperlink ref="B10:B11" location="'Index of Integers'!A325" display="Index of Integers"/>
    <hyperlink ref="B13:B14" location="'Index of Parameters'!AG2" display="Index of Parameters"/>
    <hyperlink ref="B16:B17" location="'Index of Results'!AG2" display="Index of Results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29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661</v>
      </c>
      <c r="K3" s="2" t="s">
        <v>662</v>
      </c>
      <c r="L3" s="2" t="s">
        <v>663</v>
      </c>
      <c r="M3" s="2" t="s">
        <v>664</v>
      </c>
      <c r="N3" s="2" t="s">
        <v>665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10000000</v>
      </c>
      <c r="G7" s="21" t="s">
        <v>1370</v>
      </c>
      <c r="H7" s="21">
        <v>1000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3125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661</v>
      </c>
      <c r="K24" s="2" t="s">
        <v>662</v>
      </c>
      <c r="L24" s="2" t="s">
        <v>663</v>
      </c>
      <c r="M24" s="2" t="s">
        <v>664</v>
      </c>
      <c r="N24" s="2" t="s">
        <v>665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85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96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13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13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15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661</v>
      </c>
      <c r="K37" s="2" t="s">
        <v>662</v>
      </c>
      <c r="L37" s="2" t="s">
        <v>663</v>
      </c>
      <c r="M37" s="2" t="s">
        <v>664</v>
      </c>
      <c r="N37" s="2" t="s">
        <v>665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35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661</v>
      </c>
      <c r="K46" s="2" t="s">
        <v>662</v>
      </c>
      <c r="L46" s="2" t="s">
        <v>663</v>
      </c>
      <c r="M46" s="2" t="s">
        <v>664</v>
      </c>
      <c r="N46" s="2" t="s">
        <v>665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205'!A1" display="Next"/>
    <hyperlink ref="B4" location="'c195'!A1" display="Prev"/>
    <hyperlink ref="B10:B11" location="'Index of Integers'!A336" display="Index of Integers"/>
    <hyperlink ref="B13:B14" location="'Index of Parameters'!AH2" display="Index of Parameters"/>
    <hyperlink ref="B16:B17" location="'Index of Results'!AH2" display="Index of Results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30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681</v>
      </c>
      <c r="K3" s="2" t="s">
        <v>682</v>
      </c>
      <c r="L3" s="2" t="s">
        <v>683</v>
      </c>
      <c r="M3" s="2" t="s">
        <v>684</v>
      </c>
      <c r="N3" s="2" t="s">
        <v>685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50000000</v>
      </c>
      <c r="G7" s="21" t="s">
        <v>1370</v>
      </c>
      <c r="H7" s="21">
        <v>500000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1000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5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681</v>
      </c>
      <c r="K24" s="2" t="s">
        <v>682</v>
      </c>
      <c r="L24" s="2" t="s">
        <v>683</v>
      </c>
      <c r="M24" s="2" t="s">
        <v>684</v>
      </c>
      <c r="N24" s="2" t="s">
        <v>685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66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99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/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/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15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681</v>
      </c>
      <c r="K37" s="2" t="s">
        <v>682</v>
      </c>
      <c r="L37" s="2" t="s">
        <v>683</v>
      </c>
      <c r="M37" s="2" t="s">
        <v>684</v>
      </c>
      <c r="N37" s="2" t="s">
        <v>685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35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681</v>
      </c>
      <c r="K46" s="2" t="s">
        <v>682</v>
      </c>
      <c r="L46" s="2" t="s">
        <v>683</v>
      </c>
      <c r="M46" s="2" t="s">
        <v>684</v>
      </c>
      <c r="N46" s="2" t="s">
        <v>685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210'!A1" display="Next"/>
    <hyperlink ref="B4" location="'c200'!A1" display="Prev"/>
    <hyperlink ref="B10:B11" location="'Index of Integers'!A347" display="Index of Integers"/>
    <hyperlink ref="B13:B14" location="'Index of Parameters'!AI2" display="Index of Parameters"/>
    <hyperlink ref="B16:B17" location="'Index of Results'!AI2" display="Index of Results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31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701</v>
      </c>
      <c r="K3" s="2" t="s">
        <v>702</v>
      </c>
      <c r="L3" s="2" t="s">
        <v>703</v>
      </c>
      <c r="M3" s="2" t="s">
        <v>704</v>
      </c>
      <c r="N3" s="2" t="s">
        <v>705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200000000</v>
      </c>
      <c r="G7" s="21" t="s">
        <v>1370</v>
      </c>
      <c r="H7" s="21">
        <v>10000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50000000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1296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6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>
        <v>10</v>
      </c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701</v>
      </c>
      <c r="K24" s="2" t="s">
        <v>702</v>
      </c>
      <c r="L24" s="2" t="s">
        <v>703</v>
      </c>
      <c r="M24" s="2" t="s">
        <v>704</v>
      </c>
      <c r="N24" s="2" t="s">
        <v>705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76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104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26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21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15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701</v>
      </c>
      <c r="K37" s="2" t="s">
        <v>702</v>
      </c>
      <c r="L37" s="2" t="s">
        <v>703</v>
      </c>
      <c r="M37" s="2" t="s">
        <v>704</v>
      </c>
      <c r="N37" s="2" t="s">
        <v>705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40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701</v>
      </c>
      <c r="K46" s="2" t="s">
        <v>702</v>
      </c>
      <c r="L46" s="2" t="s">
        <v>703</v>
      </c>
      <c r="M46" s="2" t="s">
        <v>704</v>
      </c>
      <c r="N46" s="2" t="s">
        <v>705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220'!A1" display="Next"/>
    <hyperlink ref="B4" location="'c205'!A1" display="Prev"/>
    <hyperlink ref="B10:B11" location="'Index of Integers'!A358" display="Index of Integers"/>
    <hyperlink ref="B13:B14" location="'Index of Parameters'!AJ2" display="Index of Parameters"/>
    <hyperlink ref="B16:B17" location="'Index of Results'!AJ2" display="Index of Results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32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721</v>
      </c>
      <c r="K3" s="2" t="s">
        <v>722</v>
      </c>
      <c r="L3" s="2" t="s">
        <v>723</v>
      </c>
      <c r="M3" s="2" t="s">
        <v>724</v>
      </c>
      <c r="N3" s="2" t="s">
        <v>725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100000000</v>
      </c>
      <c r="G7" s="21" t="s">
        <v>1370</v>
      </c>
      <c r="H7" s="21">
        <v>1000000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1296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6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721</v>
      </c>
      <c r="K24" s="2" t="s">
        <v>722</v>
      </c>
      <c r="L24" s="2" t="s">
        <v>723</v>
      </c>
      <c r="M24" s="2" t="s">
        <v>724</v>
      </c>
      <c r="N24" s="2" t="s">
        <v>725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77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102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26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21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16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721</v>
      </c>
      <c r="K37" s="2" t="s">
        <v>722</v>
      </c>
      <c r="L37" s="2" t="s">
        <v>723</v>
      </c>
      <c r="M37" s="2" t="s">
        <v>724</v>
      </c>
      <c r="N37" s="2" t="s">
        <v>725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83">
        <v>40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175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721</v>
      </c>
      <c r="K46" s="2" t="s">
        <v>722</v>
      </c>
      <c r="L46" s="2" t="s">
        <v>723</v>
      </c>
      <c r="M46" s="2" t="s">
        <v>724</v>
      </c>
      <c r="N46" s="2" t="s">
        <v>725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230'!A1" display="Next"/>
    <hyperlink ref="B4" location="'c210'!A1" display="Prev"/>
    <hyperlink ref="B10:B11" location="'Index of Integers'!A369" display="Index of Integers"/>
    <hyperlink ref="B13:B14" location="'Index of Parameters'!AK2" display="Index of Parameters"/>
    <hyperlink ref="B16:B17" location="'Index of Results'!AK2" display="Index of Results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33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741</v>
      </c>
      <c r="K3" s="2" t="s">
        <v>742</v>
      </c>
      <c r="L3" s="2" t="s">
        <v>743</v>
      </c>
      <c r="M3" s="2" t="s">
        <v>744</v>
      </c>
      <c r="N3" s="2" t="s">
        <v>745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100000000</v>
      </c>
      <c r="G7" s="21" t="s">
        <v>1370</v>
      </c>
      <c r="H7" s="21">
        <v>1000000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1296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6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741</v>
      </c>
      <c r="K24" s="2" t="s">
        <v>742</v>
      </c>
      <c r="L24" s="2" t="s">
        <v>743</v>
      </c>
      <c r="M24" s="2" t="s">
        <v>744</v>
      </c>
      <c r="N24" s="2" t="s">
        <v>745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79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111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33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31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16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741</v>
      </c>
      <c r="K37" s="2" t="s">
        <v>742</v>
      </c>
      <c r="L37" s="2" t="s">
        <v>743</v>
      </c>
      <c r="M37" s="2" t="s">
        <v>744</v>
      </c>
      <c r="N37" s="2" t="s">
        <v>745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83">
        <v>40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741</v>
      </c>
      <c r="K46" s="2" t="s">
        <v>742</v>
      </c>
      <c r="L46" s="2" t="s">
        <v>743</v>
      </c>
      <c r="M46" s="2" t="s">
        <v>744</v>
      </c>
      <c r="N46" s="2" t="s">
        <v>745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270'!A1" display="Next"/>
    <hyperlink ref="B4" location="'c220'!A1" display="Prev"/>
    <hyperlink ref="B10:B11" location="'Index of Integers'!A380" display="Index of Integers"/>
    <hyperlink ref="B13:B14" location="'Index of Parameters'!AL2" display="Index of Parameters"/>
    <hyperlink ref="B16:B17" location="'Index of Results'!AL2" display="Index of Results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34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761</v>
      </c>
      <c r="K3" s="2" t="s">
        <v>762</v>
      </c>
      <c r="L3" s="2" t="s">
        <v>763</v>
      </c>
      <c r="M3" s="2" t="s">
        <v>764</v>
      </c>
      <c r="N3" s="2" t="s">
        <v>765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100000000</v>
      </c>
      <c r="G7" s="21" t="s">
        <v>1370</v>
      </c>
      <c r="H7" s="21">
        <v>1000000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1296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6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761</v>
      </c>
      <c r="K24" s="2" t="s">
        <v>762</v>
      </c>
      <c r="L24" s="2" t="s">
        <v>763</v>
      </c>
      <c r="M24" s="2" t="s">
        <v>764</v>
      </c>
      <c r="N24" s="2" t="s">
        <v>765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109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120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28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31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18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761</v>
      </c>
      <c r="K37" s="2" t="s">
        <v>762</v>
      </c>
      <c r="L37" s="2" t="s">
        <v>763</v>
      </c>
      <c r="M37" s="2" t="s">
        <v>764</v>
      </c>
      <c r="N37" s="2" t="s">
        <v>765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40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761</v>
      </c>
      <c r="K46" s="2" t="s">
        <v>762</v>
      </c>
      <c r="L46" s="2" t="s">
        <v>763</v>
      </c>
      <c r="M46" s="2" t="s">
        <v>764</v>
      </c>
      <c r="N46" s="2" t="s">
        <v>765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310'!A1" display="Next"/>
    <hyperlink ref="B4" location="'c230'!A1" display="Prev"/>
    <hyperlink ref="B10:B11" location="'Index of Integers'!A391" display="Index of Integers"/>
    <hyperlink ref="B13:B14" location="'Index of Parameters'!AM2" display="Index of Parameters"/>
    <hyperlink ref="B16:B17" location="'Index of Results'!AM2" display="Index of Results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35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781</v>
      </c>
      <c r="K3" s="2" t="s">
        <v>782</v>
      </c>
      <c r="L3" s="2" t="s">
        <v>783</v>
      </c>
      <c r="M3" s="2" t="s">
        <v>784</v>
      </c>
      <c r="N3" s="2" t="s">
        <v>785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100000000</v>
      </c>
      <c r="G7" s="21" t="s">
        <v>1370</v>
      </c>
      <c r="H7" s="21">
        <v>1000000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1296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6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781</v>
      </c>
      <c r="K24" s="2" t="s">
        <v>782</v>
      </c>
      <c r="L24" s="2" t="s">
        <v>783</v>
      </c>
      <c r="M24" s="2" t="s">
        <v>784</v>
      </c>
      <c r="N24" s="2" t="s">
        <v>785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70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105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30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30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16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781</v>
      </c>
      <c r="K37" s="2" t="s">
        <v>782</v>
      </c>
      <c r="L37" s="2" t="s">
        <v>783</v>
      </c>
      <c r="M37" s="2" t="s">
        <v>784</v>
      </c>
      <c r="N37" s="2" t="s">
        <v>785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40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781</v>
      </c>
      <c r="K46" s="2" t="s">
        <v>782</v>
      </c>
      <c r="L46" s="2" t="s">
        <v>783</v>
      </c>
      <c r="M46" s="2" t="s">
        <v>784</v>
      </c>
      <c r="N46" s="2" t="s">
        <v>785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2" spans="4:16" x14ac:dyDescent="0.25">
      <c r="I62" s="75"/>
    </row>
    <row r="63" spans="4:16" x14ac:dyDescent="0.25">
      <c r="I63" s="75"/>
    </row>
    <row r="64" spans="4:16" x14ac:dyDescent="0.25">
      <c r="I64" s="75"/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8" location="'c320'!A1" display="Next"/>
    <hyperlink ref="B4" location="'c270'!A1" display="Prev"/>
    <hyperlink ref="B10:B11" location="'Index of Integers'!A402" display="Index of Integers"/>
    <hyperlink ref="B13:B14" location="'Index of Parameters'!AN2" display="Index of Parameters"/>
    <hyperlink ref="B16:B17" location="'Index of Results'!AN2" display="Index of Results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8"/>
  <sheetViews>
    <sheetView workbookViewId="0"/>
  </sheetViews>
  <sheetFormatPr defaultColWidth="8.85546875" defaultRowHeight="15" x14ac:dyDescent="0.25"/>
  <cols>
    <col min="1" max="1" width="2.7109375" style="24" customWidth="1"/>
    <col min="2" max="2" width="11.28515625" style="25" customWidth="1"/>
    <col min="3" max="3" width="2.7109375" style="24" customWidth="1"/>
    <col min="4" max="4" width="3.5703125" style="24" bestFit="1" customWidth="1"/>
    <col min="5" max="5" width="20.7109375" style="24" bestFit="1" customWidth="1"/>
    <col min="6" max="6" width="20.7109375" style="24" customWidth="1"/>
    <col min="7" max="7" width="23.28515625" style="24" bestFit="1" customWidth="1"/>
    <col min="8" max="8" width="23.28515625" style="24" customWidth="1"/>
    <col min="9" max="9" width="28.7109375" style="24" bestFit="1" customWidth="1"/>
    <col min="10" max="10" width="10.28515625" style="24" bestFit="1" customWidth="1"/>
    <col min="11" max="15" width="8.85546875" style="24"/>
    <col min="16" max="16" width="2.7109375" style="24" customWidth="1"/>
    <col min="17" max="16384" width="8.85546875" style="24"/>
  </cols>
  <sheetData>
    <row r="2" spans="2:16" x14ac:dyDescent="0.25">
      <c r="B2" s="56" t="s">
        <v>36</v>
      </c>
      <c r="D2" s="2"/>
      <c r="E2" s="2"/>
      <c r="F2" s="2"/>
      <c r="G2" s="2"/>
      <c r="H2" s="2"/>
      <c r="I2" s="2"/>
      <c r="J2" s="2" t="s">
        <v>64</v>
      </c>
      <c r="K2" s="2"/>
      <c r="L2" s="2"/>
      <c r="M2" s="2"/>
      <c r="N2" s="2"/>
      <c r="O2" s="2"/>
    </row>
    <row r="3" spans="2:16" x14ac:dyDescent="0.25">
      <c r="B3" s="54"/>
      <c r="D3" s="2"/>
      <c r="E3" s="138" t="s">
        <v>1364</v>
      </c>
      <c r="F3" s="138"/>
      <c r="G3" s="138"/>
      <c r="H3" s="53"/>
      <c r="I3" s="39" t="s">
        <v>1363</v>
      </c>
      <c r="J3" s="2" t="s">
        <v>152</v>
      </c>
      <c r="K3" s="2" t="s">
        <v>153</v>
      </c>
      <c r="L3" s="2" t="s">
        <v>154</v>
      </c>
      <c r="M3" s="2" t="s">
        <v>155</v>
      </c>
      <c r="N3" s="2" t="s">
        <v>156</v>
      </c>
      <c r="O3" s="28" t="s">
        <v>1454</v>
      </c>
      <c r="P3" s="40"/>
    </row>
    <row r="4" spans="2:16" x14ac:dyDescent="0.25">
      <c r="B4" s="55" t="s">
        <v>38</v>
      </c>
      <c r="D4" s="141" t="s">
        <v>40</v>
      </c>
      <c r="E4" s="3" t="s">
        <v>1374</v>
      </c>
      <c r="F4" s="3"/>
      <c r="G4" s="3" t="s">
        <v>1365</v>
      </c>
      <c r="H4" s="3"/>
      <c r="I4" s="9" t="s">
        <v>41</v>
      </c>
      <c r="J4" s="29"/>
      <c r="K4" s="30"/>
      <c r="L4" s="30"/>
      <c r="M4" s="30"/>
      <c r="N4" s="31"/>
      <c r="O4" s="33" t="e">
        <f>AVERAGE(J4:N4)</f>
        <v>#DIV/0!</v>
      </c>
      <c r="P4" s="40"/>
    </row>
    <row r="5" spans="2:16" x14ac:dyDescent="0.25">
      <c r="B5" s="54"/>
      <c r="D5" s="141"/>
      <c r="E5" s="20" t="s">
        <v>1397</v>
      </c>
      <c r="F5" s="20"/>
      <c r="G5" s="20" t="s">
        <v>1366</v>
      </c>
      <c r="H5" s="20">
        <v>60</v>
      </c>
      <c r="I5" s="10"/>
      <c r="J5" s="43"/>
      <c r="K5" s="44"/>
      <c r="L5" s="44"/>
      <c r="M5" s="44"/>
      <c r="N5" s="45"/>
      <c r="O5" s="44"/>
      <c r="P5" s="40"/>
    </row>
    <row r="6" spans="2:16" x14ac:dyDescent="0.25">
      <c r="B6" s="55" t="s">
        <v>37</v>
      </c>
      <c r="D6" s="141"/>
      <c r="E6" s="21" t="s">
        <v>1368</v>
      </c>
      <c r="F6" s="21">
        <v>0</v>
      </c>
      <c r="G6" s="20" t="s">
        <v>1397</v>
      </c>
      <c r="H6" s="20"/>
      <c r="I6" s="10"/>
      <c r="J6" s="43"/>
      <c r="K6" s="44"/>
      <c r="L6" s="44"/>
      <c r="M6" s="44"/>
      <c r="N6" s="45"/>
      <c r="O6" s="44"/>
      <c r="P6" s="40"/>
    </row>
    <row r="7" spans="2:16" x14ac:dyDescent="0.25">
      <c r="B7" s="54"/>
      <c r="D7" s="141"/>
      <c r="E7" s="21" t="s">
        <v>1369</v>
      </c>
      <c r="F7" s="21">
        <v>100000000</v>
      </c>
      <c r="G7" s="21" t="s">
        <v>1370</v>
      </c>
      <c r="H7" s="21">
        <v>1000000</v>
      </c>
      <c r="I7" s="10"/>
      <c r="J7" s="43"/>
      <c r="K7" s="44"/>
      <c r="L7" s="44"/>
      <c r="M7" s="44"/>
      <c r="N7" s="45"/>
      <c r="O7" s="44"/>
      <c r="P7" s="40"/>
    </row>
    <row r="8" spans="2:16" x14ac:dyDescent="0.25">
      <c r="B8" s="55" t="s">
        <v>39</v>
      </c>
      <c r="D8" s="141"/>
      <c r="E8" s="20" t="s">
        <v>1367</v>
      </c>
      <c r="F8" s="20">
        <v>10000000</v>
      </c>
      <c r="G8" s="20" t="s">
        <v>1373</v>
      </c>
      <c r="H8" s="20"/>
      <c r="I8" s="10"/>
      <c r="J8" s="43"/>
      <c r="K8" s="44"/>
      <c r="L8" s="44"/>
      <c r="M8" s="44"/>
      <c r="N8" s="45"/>
      <c r="O8" s="44"/>
      <c r="P8" s="40"/>
    </row>
    <row r="9" spans="2:16" x14ac:dyDescent="0.25">
      <c r="B9" s="54"/>
      <c r="D9" s="141"/>
      <c r="E9" s="22" t="s">
        <v>1399</v>
      </c>
      <c r="F9" s="79">
        <v>0</v>
      </c>
      <c r="G9" s="22"/>
      <c r="H9" s="22"/>
      <c r="I9" s="10"/>
      <c r="J9" s="43"/>
      <c r="K9" s="44"/>
      <c r="L9" s="44"/>
      <c r="M9" s="44"/>
      <c r="N9" s="45"/>
      <c r="O9" s="44"/>
      <c r="P9" s="40"/>
    </row>
    <row r="10" spans="2:16" x14ac:dyDescent="0.25">
      <c r="B10" s="140" t="s">
        <v>56</v>
      </c>
      <c r="D10" s="141"/>
      <c r="E10" s="20" t="s">
        <v>1371</v>
      </c>
      <c r="F10" s="20">
        <v>1296</v>
      </c>
      <c r="G10" s="22"/>
      <c r="H10" s="22"/>
      <c r="I10" s="10"/>
      <c r="J10" s="43"/>
      <c r="K10" s="44"/>
      <c r="L10" s="44"/>
      <c r="M10" s="44"/>
      <c r="N10" s="45"/>
      <c r="O10" s="44"/>
      <c r="P10" s="40"/>
    </row>
    <row r="11" spans="2:16" x14ac:dyDescent="0.25">
      <c r="B11" s="140"/>
      <c r="D11" s="141"/>
      <c r="E11" s="20" t="s">
        <v>1372</v>
      </c>
      <c r="F11" s="20">
        <v>100</v>
      </c>
      <c r="G11" s="22"/>
      <c r="H11" s="22"/>
      <c r="I11" s="10"/>
      <c r="J11" s="43"/>
      <c r="K11" s="44"/>
      <c r="L11" s="44"/>
      <c r="M11" s="44"/>
      <c r="N11" s="45"/>
      <c r="O11" s="44"/>
      <c r="P11" s="40"/>
    </row>
    <row r="12" spans="2:16" x14ac:dyDescent="0.25">
      <c r="B12" s="54"/>
      <c r="D12" s="141"/>
      <c r="E12" s="23" t="s">
        <v>1403</v>
      </c>
      <c r="F12" s="23">
        <v>6</v>
      </c>
      <c r="G12" s="23"/>
      <c r="H12" s="23"/>
      <c r="I12" s="11"/>
      <c r="J12" s="43"/>
      <c r="K12" s="44"/>
      <c r="L12" s="44"/>
      <c r="M12" s="44"/>
      <c r="N12" s="45"/>
      <c r="O12" s="44"/>
      <c r="P12" s="40"/>
    </row>
    <row r="13" spans="2:16" x14ac:dyDescent="0.25">
      <c r="B13" s="139" t="s">
        <v>1447</v>
      </c>
      <c r="D13" s="141"/>
      <c r="E13" s="20" t="s">
        <v>1398</v>
      </c>
      <c r="F13" s="20"/>
      <c r="G13" s="20"/>
      <c r="H13" s="20"/>
      <c r="I13" s="10" t="s">
        <v>42</v>
      </c>
      <c r="J13" s="32"/>
      <c r="K13" s="33"/>
      <c r="L13" s="33"/>
      <c r="M13" s="33"/>
      <c r="N13" s="34"/>
      <c r="O13" s="33" t="e">
        <f>AVERAGE(J13:N13)</f>
        <v>#DIV/0!</v>
      </c>
      <c r="P13" s="40"/>
    </row>
    <row r="14" spans="2:16" x14ac:dyDescent="0.25">
      <c r="B14" s="139"/>
      <c r="D14" s="141"/>
      <c r="E14" s="23"/>
      <c r="F14" s="23"/>
      <c r="G14" s="23"/>
      <c r="H14" s="23"/>
      <c r="I14" s="11"/>
      <c r="J14" s="43"/>
      <c r="K14" s="44"/>
      <c r="L14" s="44"/>
      <c r="M14" s="44"/>
      <c r="N14" s="45"/>
      <c r="O14" s="44"/>
      <c r="P14" s="40"/>
    </row>
    <row r="15" spans="2:16" x14ac:dyDescent="0.25">
      <c r="B15" s="54"/>
      <c r="D15" s="141"/>
      <c r="E15" s="20"/>
      <c r="F15" s="20"/>
      <c r="G15" s="20"/>
      <c r="H15" s="20"/>
      <c r="I15" s="10" t="s">
        <v>43</v>
      </c>
      <c r="J15" s="32"/>
      <c r="K15" s="33"/>
      <c r="L15" s="33"/>
      <c r="M15" s="33"/>
      <c r="N15" s="34"/>
      <c r="O15" s="33" t="e">
        <f>AVERAGE(J15:N15)</f>
        <v>#DIV/0!</v>
      </c>
      <c r="P15" s="40"/>
    </row>
    <row r="16" spans="2:16" x14ac:dyDescent="0.25">
      <c r="B16" s="139" t="s">
        <v>1470</v>
      </c>
      <c r="D16" s="141"/>
      <c r="E16" s="23"/>
      <c r="F16" s="23"/>
      <c r="G16" s="23"/>
      <c r="H16" s="23"/>
      <c r="I16" s="11"/>
      <c r="J16" s="43"/>
      <c r="K16" s="44"/>
      <c r="L16" s="44"/>
      <c r="M16" s="44"/>
      <c r="N16" s="45"/>
      <c r="O16" s="44"/>
      <c r="P16" s="40"/>
    </row>
    <row r="17" spans="2:16" x14ac:dyDescent="0.25">
      <c r="B17" s="139"/>
      <c r="D17" s="141"/>
      <c r="E17" s="20"/>
      <c r="F17" s="20"/>
      <c r="G17" s="20"/>
      <c r="H17" s="20"/>
      <c r="I17" s="10" t="s">
        <v>44</v>
      </c>
      <c r="J17" s="32"/>
      <c r="K17" s="33"/>
      <c r="L17" s="33"/>
      <c r="M17" s="33"/>
      <c r="N17" s="34"/>
      <c r="O17" s="33" t="e">
        <f>AVERAGE(J17:N17)</f>
        <v>#DIV/0!</v>
      </c>
      <c r="P17" s="40"/>
    </row>
    <row r="18" spans="2:16" x14ac:dyDescent="0.25">
      <c r="B18" s="2"/>
      <c r="D18" s="141"/>
      <c r="E18" s="20"/>
      <c r="F18" s="20"/>
      <c r="G18" s="20"/>
      <c r="H18" s="20"/>
      <c r="I18" s="10"/>
      <c r="J18" s="46"/>
      <c r="K18" s="47"/>
      <c r="L18" s="47"/>
      <c r="M18" s="47"/>
      <c r="N18" s="48"/>
      <c r="O18" s="44"/>
      <c r="P18" s="40"/>
    </row>
    <row r="19" spans="2:16" x14ac:dyDescent="0.25">
      <c r="E19" s="40"/>
      <c r="F19" s="40"/>
      <c r="G19" s="40"/>
      <c r="H19" s="40"/>
      <c r="I19" s="40"/>
      <c r="J19" s="41"/>
      <c r="K19" s="40"/>
      <c r="L19" s="40"/>
      <c r="M19" s="40"/>
      <c r="N19" s="40"/>
      <c r="O19" s="40"/>
      <c r="P19" s="40"/>
    </row>
    <row r="21" spans="2:16" x14ac:dyDescent="0.25">
      <c r="I21" s="2" t="s">
        <v>1450</v>
      </c>
      <c r="J21" s="110"/>
      <c r="K21" s="110"/>
      <c r="L21" s="110"/>
      <c r="M21" s="110"/>
      <c r="N21" s="110"/>
      <c r="O21" s="38" t="e">
        <f>AVERAGE(J21:N21)</f>
        <v>#DIV/0!</v>
      </c>
    </row>
    <row r="23" spans="2:16" x14ac:dyDescent="0.25">
      <c r="D23" s="2"/>
      <c r="E23" s="2"/>
      <c r="F23" s="2"/>
      <c r="G23" s="2"/>
      <c r="H23" s="2"/>
      <c r="I23" s="2"/>
      <c r="J23" s="2" t="s">
        <v>64</v>
      </c>
      <c r="K23" s="2"/>
      <c r="L23" s="2"/>
      <c r="M23" s="2"/>
      <c r="N23" s="2"/>
      <c r="O23" s="2"/>
    </row>
    <row r="24" spans="2:16" x14ac:dyDescent="0.25">
      <c r="D24" s="2"/>
      <c r="E24" s="138" t="s">
        <v>1364</v>
      </c>
      <c r="F24" s="138"/>
      <c r="G24" s="138"/>
      <c r="H24" s="53"/>
      <c r="I24" s="39" t="s">
        <v>1363</v>
      </c>
      <c r="J24" s="2" t="s">
        <v>152</v>
      </c>
      <c r="K24" s="2" t="s">
        <v>153</v>
      </c>
      <c r="L24" s="2" t="s">
        <v>154</v>
      </c>
      <c r="M24" s="2" t="s">
        <v>155</v>
      </c>
      <c r="N24" s="2" t="s">
        <v>156</v>
      </c>
      <c r="O24" s="28" t="s">
        <v>1454</v>
      </c>
      <c r="P24" s="40"/>
    </row>
    <row r="25" spans="2:16" x14ac:dyDescent="0.25">
      <c r="D25" s="142" t="s">
        <v>45</v>
      </c>
      <c r="E25" s="4" t="s">
        <v>1374</v>
      </c>
      <c r="F25" s="4"/>
      <c r="G25" s="4" t="s">
        <v>1365</v>
      </c>
      <c r="H25" s="4"/>
      <c r="I25" s="52" t="s">
        <v>45</v>
      </c>
      <c r="J25" s="29"/>
      <c r="K25" s="30"/>
      <c r="L25" s="30"/>
      <c r="M25" s="30"/>
      <c r="N25" s="31"/>
      <c r="O25" s="33" t="e">
        <f>AVERAGE(J25:N25)</f>
        <v>#DIV/0!</v>
      </c>
      <c r="P25" s="40"/>
    </row>
    <row r="26" spans="2:16" x14ac:dyDescent="0.25">
      <c r="D26" s="142"/>
      <c r="E26" s="5" t="s">
        <v>1376</v>
      </c>
      <c r="F26" s="5">
        <v>70</v>
      </c>
      <c r="G26" s="5" t="s">
        <v>1384</v>
      </c>
      <c r="H26" s="5"/>
      <c r="I26" s="12"/>
      <c r="J26" s="43"/>
      <c r="K26" s="44"/>
      <c r="L26" s="44"/>
      <c r="M26" s="44"/>
      <c r="N26" s="45"/>
      <c r="O26" s="44"/>
      <c r="P26" s="40"/>
    </row>
    <row r="27" spans="2:16" x14ac:dyDescent="0.25">
      <c r="D27" s="142"/>
      <c r="E27" s="5" t="s">
        <v>1377</v>
      </c>
      <c r="F27" s="5">
        <v>105</v>
      </c>
      <c r="G27" s="5" t="s">
        <v>1383</v>
      </c>
      <c r="H27" s="5">
        <v>10000</v>
      </c>
      <c r="I27" s="12"/>
      <c r="J27" s="43"/>
      <c r="K27" s="44"/>
      <c r="L27" s="44"/>
      <c r="M27" s="44"/>
      <c r="N27" s="45"/>
      <c r="O27" s="44"/>
      <c r="P27" s="40"/>
    </row>
    <row r="28" spans="2:16" x14ac:dyDescent="0.25">
      <c r="D28" s="142"/>
      <c r="E28" s="5" t="s">
        <v>1378</v>
      </c>
      <c r="F28" s="5"/>
      <c r="G28" s="5" t="s">
        <v>1373</v>
      </c>
      <c r="H28" s="5"/>
      <c r="I28" s="12"/>
      <c r="J28" s="43"/>
      <c r="K28" s="44"/>
      <c r="L28" s="44"/>
      <c r="M28" s="44"/>
      <c r="N28" s="45"/>
      <c r="O28" s="44"/>
      <c r="P28" s="40"/>
    </row>
    <row r="29" spans="2:16" x14ac:dyDescent="0.25">
      <c r="D29" s="142"/>
      <c r="E29" s="5" t="s">
        <v>1379</v>
      </c>
      <c r="F29" s="5"/>
      <c r="G29" s="5"/>
      <c r="H29" s="5"/>
      <c r="I29" s="12"/>
      <c r="J29" s="43"/>
      <c r="K29" s="44"/>
      <c r="L29" s="44"/>
      <c r="M29" s="44"/>
      <c r="N29" s="45"/>
      <c r="O29" s="44"/>
      <c r="P29" s="40"/>
    </row>
    <row r="30" spans="2:16" x14ac:dyDescent="0.25">
      <c r="D30" s="142"/>
      <c r="E30" s="5" t="s">
        <v>1380</v>
      </c>
      <c r="F30" s="5">
        <v>30</v>
      </c>
      <c r="G30" s="5"/>
      <c r="H30" s="5"/>
      <c r="I30" s="12"/>
      <c r="J30" s="43"/>
      <c r="K30" s="44"/>
      <c r="L30" s="44"/>
      <c r="M30" s="44"/>
      <c r="N30" s="45"/>
      <c r="O30" s="44"/>
      <c r="P30" s="40"/>
    </row>
    <row r="31" spans="2:16" x14ac:dyDescent="0.25">
      <c r="D31" s="142"/>
      <c r="E31" s="5" t="s">
        <v>1381</v>
      </c>
      <c r="F31" s="5">
        <v>30</v>
      </c>
      <c r="G31" s="5"/>
      <c r="H31" s="5"/>
      <c r="I31" s="12"/>
      <c r="J31" s="43"/>
      <c r="K31" s="44"/>
      <c r="L31" s="44"/>
      <c r="M31" s="44"/>
      <c r="N31" s="45"/>
      <c r="O31" s="44"/>
      <c r="P31" s="40"/>
    </row>
    <row r="32" spans="2:16" x14ac:dyDescent="0.25">
      <c r="D32" s="142"/>
      <c r="E32" s="5" t="s">
        <v>1382</v>
      </c>
      <c r="F32" s="5"/>
      <c r="G32" s="5"/>
      <c r="H32" s="5"/>
      <c r="I32" s="12"/>
      <c r="J32" s="43"/>
      <c r="K32" s="44"/>
      <c r="L32" s="44"/>
      <c r="M32" s="44"/>
      <c r="N32" s="45"/>
      <c r="O32" s="44"/>
      <c r="P32" s="40"/>
    </row>
    <row r="33" spans="4:16" x14ac:dyDescent="0.25">
      <c r="D33" s="142"/>
      <c r="E33" s="5" t="s">
        <v>1375</v>
      </c>
      <c r="F33" s="5">
        <v>16</v>
      </c>
      <c r="G33" s="5"/>
      <c r="H33" s="5"/>
      <c r="I33" s="13"/>
      <c r="J33" s="46"/>
      <c r="K33" s="47"/>
      <c r="L33" s="47"/>
      <c r="M33" s="47"/>
      <c r="N33" s="48"/>
      <c r="O33" s="44"/>
      <c r="P33" s="40"/>
    </row>
    <row r="34" spans="4:16" x14ac:dyDescent="0.25">
      <c r="E34" s="40"/>
      <c r="F34" s="40"/>
      <c r="G34" s="40"/>
      <c r="H34" s="40"/>
      <c r="I34" s="40"/>
      <c r="J34" s="41"/>
      <c r="K34" s="40"/>
      <c r="L34" s="40"/>
      <c r="M34" s="40"/>
      <c r="N34" s="40"/>
      <c r="O34" s="40"/>
      <c r="P34" s="40"/>
    </row>
    <row r="36" spans="4:16" x14ac:dyDescent="0.25">
      <c r="D36" s="2"/>
      <c r="E36" s="2"/>
      <c r="F36" s="2"/>
      <c r="G36" s="2"/>
      <c r="H36" s="2"/>
      <c r="I36" s="2"/>
      <c r="J36" s="2" t="s">
        <v>64</v>
      </c>
      <c r="K36" s="2"/>
      <c r="L36" s="2"/>
      <c r="M36" s="2"/>
      <c r="N36" s="2"/>
      <c r="O36" s="2"/>
    </row>
    <row r="37" spans="4:16" x14ac:dyDescent="0.25">
      <c r="D37" s="2"/>
      <c r="E37" s="138" t="s">
        <v>1364</v>
      </c>
      <c r="F37" s="138"/>
      <c r="G37" s="138"/>
      <c r="H37" s="53"/>
      <c r="I37" s="39" t="s">
        <v>1363</v>
      </c>
      <c r="J37" s="2" t="s">
        <v>152</v>
      </c>
      <c r="K37" s="2" t="s">
        <v>153</v>
      </c>
      <c r="L37" s="2" t="s">
        <v>154</v>
      </c>
      <c r="M37" s="2" t="s">
        <v>155</v>
      </c>
      <c r="N37" s="2" t="s">
        <v>156</v>
      </c>
      <c r="O37" s="28" t="s">
        <v>1454</v>
      </c>
      <c r="P37" s="40"/>
    </row>
    <row r="38" spans="4:16" x14ac:dyDescent="0.25">
      <c r="D38" s="144" t="s">
        <v>46</v>
      </c>
      <c r="E38" s="6" t="s">
        <v>1385</v>
      </c>
      <c r="F38" s="6">
        <v>160</v>
      </c>
      <c r="G38" s="6"/>
      <c r="H38" s="6"/>
      <c r="I38" s="14" t="s">
        <v>47</v>
      </c>
      <c r="J38" s="29"/>
      <c r="K38" s="30"/>
      <c r="L38" s="30"/>
      <c r="M38" s="30"/>
      <c r="N38" s="31"/>
      <c r="O38" s="33" t="e">
        <f>AVERAGE(J38:N38)</f>
        <v>#DIV/0!</v>
      </c>
      <c r="P38" s="40"/>
    </row>
    <row r="39" spans="4:16" x14ac:dyDescent="0.25">
      <c r="D39" s="144"/>
      <c r="E39" s="6" t="s">
        <v>1386</v>
      </c>
      <c r="F39" s="6"/>
      <c r="G39" s="6"/>
      <c r="H39" s="6"/>
      <c r="I39" s="14" t="s">
        <v>48</v>
      </c>
      <c r="J39" s="32"/>
      <c r="K39" s="33"/>
      <c r="L39" s="33"/>
      <c r="M39" s="33"/>
      <c r="N39" s="34"/>
      <c r="O39" s="33" t="e">
        <f>AVERAGE(J39:N39)</f>
        <v>#DIV/0!</v>
      </c>
      <c r="P39" s="40"/>
    </row>
    <row r="40" spans="4:16" x14ac:dyDescent="0.25">
      <c r="D40" s="144"/>
      <c r="E40" s="6" t="s">
        <v>1387</v>
      </c>
      <c r="F40" s="6">
        <v>40</v>
      </c>
      <c r="G40" s="6"/>
      <c r="H40" s="6"/>
      <c r="I40" s="15" t="s">
        <v>49</v>
      </c>
      <c r="J40" s="32"/>
      <c r="K40" s="33"/>
      <c r="L40" s="33"/>
      <c r="M40" s="33"/>
      <c r="N40" s="34"/>
      <c r="O40" s="33" t="e">
        <f>AVERAGE(J40:N40)</f>
        <v>#DIV/0!</v>
      </c>
      <c r="P40" s="40"/>
    </row>
    <row r="41" spans="4:16" x14ac:dyDescent="0.25">
      <c r="D41" s="144"/>
      <c r="E41" s="6" t="s">
        <v>1388</v>
      </c>
      <c r="F41" s="80">
        <v>170</v>
      </c>
      <c r="G41" s="6"/>
      <c r="H41" s="6"/>
      <c r="I41" s="16" t="s">
        <v>50</v>
      </c>
      <c r="J41" s="32"/>
      <c r="K41" s="33"/>
      <c r="L41" s="33"/>
      <c r="M41" s="33"/>
      <c r="N41" s="34"/>
      <c r="O41" s="33" t="e">
        <f>AVERAGE(J41:N41)</f>
        <v>#DIV/0!</v>
      </c>
      <c r="P41" s="40"/>
    </row>
    <row r="42" spans="4:16" x14ac:dyDescent="0.25">
      <c r="D42" s="144"/>
      <c r="E42" s="6" t="s">
        <v>1389</v>
      </c>
      <c r="F42" s="6"/>
      <c r="G42" s="6"/>
      <c r="H42" s="6"/>
      <c r="I42" s="16" t="s">
        <v>51</v>
      </c>
      <c r="J42" s="35"/>
      <c r="K42" s="28"/>
      <c r="L42" s="28"/>
      <c r="M42" s="28"/>
      <c r="N42" s="36"/>
      <c r="O42" s="33" t="e">
        <f>AVERAGE(J42:N42)</f>
        <v>#DIV/0!</v>
      </c>
      <c r="P42" s="40"/>
    </row>
    <row r="43" spans="4:16" x14ac:dyDescent="0.25">
      <c r="D43" s="26"/>
      <c r="E43" s="42"/>
      <c r="F43" s="42"/>
      <c r="G43" s="42"/>
      <c r="H43" s="42"/>
      <c r="I43" s="41"/>
      <c r="J43" s="41"/>
      <c r="K43" s="40"/>
      <c r="L43" s="40"/>
      <c r="M43" s="40"/>
      <c r="N43" s="40"/>
      <c r="O43" s="40"/>
      <c r="P43" s="40"/>
    </row>
    <row r="44" spans="4:16" x14ac:dyDescent="0.25"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25">
      <c r="D45" s="37"/>
      <c r="E45" s="37"/>
      <c r="F45" s="37"/>
      <c r="G45" s="37"/>
      <c r="H45" s="37"/>
      <c r="I45" s="37"/>
      <c r="J45" s="2" t="s">
        <v>64</v>
      </c>
      <c r="K45" s="2"/>
      <c r="L45" s="2"/>
      <c r="M45" s="2"/>
      <c r="N45" s="2"/>
      <c r="O45" s="2"/>
      <c r="P45" s="26"/>
    </row>
    <row r="46" spans="4:16" x14ac:dyDescent="0.25">
      <c r="D46" s="37"/>
      <c r="E46" s="138" t="s">
        <v>1364</v>
      </c>
      <c r="F46" s="138"/>
      <c r="G46" s="138"/>
      <c r="H46" s="53"/>
      <c r="I46" s="39" t="s">
        <v>1363</v>
      </c>
      <c r="J46" s="2" t="s">
        <v>152</v>
      </c>
      <c r="K46" s="2" t="s">
        <v>153</v>
      </c>
      <c r="L46" s="2" t="s">
        <v>154</v>
      </c>
      <c r="M46" s="2" t="s">
        <v>155</v>
      </c>
      <c r="N46" s="2" t="s">
        <v>156</v>
      </c>
      <c r="O46" s="28" t="s">
        <v>1454</v>
      </c>
      <c r="P46" s="40"/>
    </row>
    <row r="47" spans="4:16" x14ac:dyDescent="0.25">
      <c r="D47" s="143" t="s">
        <v>1448</v>
      </c>
      <c r="E47" s="8" t="s">
        <v>1374</v>
      </c>
      <c r="F47" s="8"/>
      <c r="G47" s="8" t="s">
        <v>1365</v>
      </c>
      <c r="H47" s="8"/>
      <c r="I47" s="17" t="s">
        <v>53</v>
      </c>
      <c r="J47" s="29"/>
      <c r="K47" s="30"/>
      <c r="L47" s="30"/>
      <c r="M47" s="30"/>
      <c r="N47" s="31"/>
      <c r="O47" s="33" t="e">
        <f>AVERAGE(J47:N47)</f>
        <v>#DIV/0!</v>
      </c>
      <c r="P47" s="40"/>
    </row>
    <row r="48" spans="4:16" x14ac:dyDescent="0.25">
      <c r="D48" s="143"/>
      <c r="E48" s="7" t="s">
        <v>1391</v>
      </c>
      <c r="F48" s="7">
        <v>1000</v>
      </c>
      <c r="G48" s="7" t="s">
        <v>1390</v>
      </c>
      <c r="H48" s="7"/>
      <c r="I48" s="18" t="s">
        <v>54</v>
      </c>
      <c r="J48" s="32"/>
      <c r="K48" s="33"/>
      <c r="L48" s="33"/>
      <c r="M48" s="33"/>
      <c r="N48" s="34"/>
      <c r="O48" s="33" t="e">
        <f>AVERAGE(J48:N48)</f>
        <v>#DIV/0!</v>
      </c>
      <c r="P48" s="40"/>
    </row>
    <row r="49" spans="4:16" x14ac:dyDescent="0.25">
      <c r="D49" s="143"/>
      <c r="E49" s="7" t="s">
        <v>1392</v>
      </c>
      <c r="F49" s="7">
        <v>0</v>
      </c>
      <c r="G49" s="7" t="s">
        <v>1396</v>
      </c>
      <c r="H49" s="7"/>
      <c r="I49" s="18" t="s">
        <v>55</v>
      </c>
      <c r="J49" s="32"/>
      <c r="K49" s="33"/>
      <c r="L49" s="33"/>
      <c r="M49" s="33"/>
      <c r="N49" s="34"/>
      <c r="O49" s="33" t="e">
        <f>AVERAGE(J49:N49)</f>
        <v>#DIV/0!</v>
      </c>
      <c r="P49" s="40"/>
    </row>
    <row r="50" spans="4:16" x14ac:dyDescent="0.25">
      <c r="D50" s="143"/>
      <c r="E50" s="7" t="s">
        <v>1393</v>
      </c>
      <c r="F50" s="7">
        <v>64</v>
      </c>
      <c r="G50" s="7"/>
      <c r="H50" s="7"/>
      <c r="I50" s="19"/>
      <c r="J50" s="49"/>
      <c r="K50" s="44"/>
      <c r="L50" s="44"/>
      <c r="M50" s="44"/>
      <c r="N50" s="45"/>
      <c r="O50" s="44"/>
      <c r="P50" s="40"/>
    </row>
    <row r="51" spans="4:16" x14ac:dyDescent="0.25">
      <c r="D51" s="143"/>
      <c r="E51" s="7" t="s">
        <v>1394</v>
      </c>
      <c r="F51" s="7">
        <v>64</v>
      </c>
      <c r="G51" s="7"/>
      <c r="H51" s="7"/>
      <c r="I51" s="19"/>
      <c r="J51" s="49"/>
      <c r="K51" s="44"/>
      <c r="L51" s="44"/>
      <c r="M51" s="44"/>
      <c r="N51" s="45"/>
      <c r="O51" s="44"/>
      <c r="P51" s="40"/>
    </row>
    <row r="52" spans="4:16" x14ac:dyDescent="0.25">
      <c r="D52" s="143"/>
      <c r="E52" s="7" t="s">
        <v>1395</v>
      </c>
      <c r="F52" s="7">
        <v>50</v>
      </c>
      <c r="G52" s="7"/>
      <c r="H52" s="7"/>
      <c r="I52" s="19"/>
      <c r="J52" s="50"/>
      <c r="K52" s="47"/>
      <c r="L52" s="47"/>
      <c r="M52" s="47"/>
      <c r="N52" s="48"/>
      <c r="O52" s="44"/>
      <c r="P52" s="40"/>
    </row>
    <row r="53" spans="4:16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4:16" x14ac:dyDescent="0.25">
      <c r="I54" s="51" t="s">
        <v>1449</v>
      </c>
      <c r="J54" s="2">
        <f>SUM(J4:J50)</f>
        <v>0</v>
      </c>
      <c r="K54" s="2">
        <f>SUM(K4:K50)</f>
        <v>0</v>
      </c>
      <c r="L54" s="2">
        <f>SUM(L4:L50)</f>
        <v>0</v>
      </c>
      <c r="M54" s="2">
        <f>SUM(M4:M50)</f>
        <v>0</v>
      </c>
      <c r="N54" s="2">
        <f>SUM(N4:N50)</f>
        <v>0</v>
      </c>
      <c r="O54" s="38">
        <f>AVERAGE(J54:N54)</f>
        <v>0</v>
      </c>
    </row>
    <row r="55" spans="4:16" x14ac:dyDescent="0.25">
      <c r="J55" s="2"/>
      <c r="K55" s="2"/>
      <c r="L55" s="2"/>
      <c r="M55" s="2"/>
      <c r="N55" s="2"/>
      <c r="O55" s="38"/>
    </row>
    <row r="56" spans="4:16" x14ac:dyDescent="0.25">
      <c r="I56" s="106" t="s">
        <v>40</v>
      </c>
      <c r="J56" s="104" t="e">
        <f>SUM(J4:J18)/J54</f>
        <v>#DIV/0!</v>
      </c>
      <c r="K56" s="104" t="e">
        <f>SUM(K4:K18)/K54</f>
        <v>#DIV/0!</v>
      </c>
      <c r="L56" s="104" t="e">
        <f>SUM(L4:L18)/L54</f>
        <v>#DIV/0!</v>
      </c>
      <c r="M56" s="104" t="e">
        <f>SUM(M4:M18)/M54</f>
        <v>#DIV/0!</v>
      </c>
      <c r="N56" s="104" t="e">
        <f>SUM(N4:N18)/N54</f>
        <v>#DIV/0!</v>
      </c>
      <c r="O56" s="38" t="e">
        <f>AVERAGE(J56:N56)</f>
        <v>#DIV/0!</v>
      </c>
    </row>
    <row r="57" spans="4:16" x14ac:dyDescent="0.25">
      <c r="I57" s="107" t="s">
        <v>45</v>
      </c>
      <c r="J57" s="105" t="e">
        <f>J25/J54</f>
        <v>#DIV/0!</v>
      </c>
      <c r="K57" s="105" t="e">
        <f t="shared" ref="K57:N57" si="0">K25/K54</f>
        <v>#DIV/0!</v>
      </c>
      <c r="L57" s="105" t="e">
        <f t="shared" si="0"/>
        <v>#DIV/0!</v>
      </c>
      <c r="M57" s="105" t="e">
        <f t="shared" si="0"/>
        <v>#DIV/0!</v>
      </c>
      <c r="N57" s="105" t="e">
        <f t="shared" si="0"/>
        <v>#DIV/0!</v>
      </c>
      <c r="O57" s="38" t="e">
        <f>AVERAGE(J57:N57)</f>
        <v>#DIV/0!</v>
      </c>
    </row>
    <row r="58" spans="4:16" x14ac:dyDescent="0.25">
      <c r="I58" s="108" t="s">
        <v>46</v>
      </c>
      <c r="J58" s="102" t="e">
        <f>SUM(J38:J42)/J54</f>
        <v>#DIV/0!</v>
      </c>
      <c r="K58" s="102" t="e">
        <f>SUM(K38:K42)/K54</f>
        <v>#DIV/0!</v>
      </c>
      <c r="L58" s="102" t="e">
        <f>SUM(L38:L42)/L54</f>
        <v>#DIV/0!</v>
      </c>
      <c r="M58" s="102" t="e">
        <f>SUM(M38:M42)/M54</f>
        <v>#DIV/0!</v>
      </c>
      <c r="N58" s="102" t="e">
        <f>SUM(N38:N42)/N54</f>
        <v>#DIV/0!</v>
      </c>
      <c r="O58" s="38" t="e">
        <f>AVERAGE(J58:N58)</f>
        <v>#DIV/0!</v>
      </c>
    </row>
    <row r="59" spans="4:16" x14ac:dyDescent="0.25">
      <c r="I59" s="109" t="s">
        <v>1448</v>
      </c>
      <c r="J59" s="103" t="e">
        <f>SUM(J47:J49)/J54</f>
        <v>#DIV/0!</v>
      </c>
      <c r="K59" s="103" t="e">
        <f>SUM(K47:K49)/K54</f>
        <v>#DIV/0!</v>
      </c>
      <c r="L59" s="103" t="e">
        <f>SUM(L47:L49)/L54</f>
        <v>#DIV/0!</v>
      </c>
      <c r="M59" s="103" t="e">
        <f>SUM(M47:M49)/M54</f>
        <v>#DIV/0!</v>
      </c>
      <c r="N59" s="103" t="e">
        <f>SUM(N47:N49)/N54</f>
        <v>#DIV/0!</v>
      </c>
      <c r="O59" s="38" t="e">
        <f>AVERAGE(J59:N59)</f>
        <v>#DIV/0!</v>
      </c>
    </row>
    <row r="60" spans="4:16" x14ac:dyDescent="0.25">
      <c r="I60" s="75"/>
      <c r="J60" s="2"/>
      <c r="K60" s="2"/>
      <c r="L60" s="2"/>
      <c r="M60" s="2"/>
      <c r="N60" s="2"/>
      <c r="O60" s="38"/>
    </row>
    <row r="61" spans="4:16" x14ac:dyDescent="0.25">
      <c r="I61" s="75"/>
      <c r="J61" s="27" t="e">
        <f>J57/J59</f>
        <v>#DIV/0!</v>
      </c>
      <c r="K61" s="27" t="e">
        <f t="shared" ref="K61:N61" si="1">K57/K59</f>
        <v>#DIV/0!</v>
      </c>
      <c r="L61" s="27" t="e">
        <f t="shared" si="1"/>
        <v>#DIV/0!</v>
      </c>
      <c r="M61" s="27" t="e">
        <f t="shared" si="1"/>
        <v>#DIV/0!</v>
      </c>
      <c r="N61" s="27" t="e">
        <f t="shared" si="1"/>
        <v>#DIV/0!</v>
      </c>
      <c r="O61" s="38" t="e">
        <f>AVERAGE(J61:N61)</f>
        <v>#DIV/0!</v>
      </c>
    </row>
    <row r="65" spans="4:8" x14ac:dyDescent="0.25">
      <c r="D65" s="2"/>
      <c r="E65" s="39" t="s">
        <v>1451</v>
      </c>
      <c r="F65" s="60"/>
      <c r="G65" s="60"/>
      <c r="H65" s="75"/>
    </row>
    <row r="66" spans="4:8" x14ac:dyDescent="0.25">
      <c r="D66" s="2"/>
      <c r="E66" s="2" t="s">
        <v>1453</v>
      </c>
      <c r="F66" s="60">
        <v>1</v>
      </c>
      <c r="G66" s="54" t="s">
        <v>1452</v>
      </c>
      <c r="H66" s="66"/>
    </row>
    <row r="67" spans="4:8" x14ac:dyDescent="0.25">
      <c r="D67" s="2"/>
      <c r="E67" s="2" t="s">
        <v>1453</v>
      </c>
      <c r="F67" s="60">
        <v>18</v>
      </c>
      <c r="G67" s="54" t="s">
        <v>1472</v>
      </c>
      <c r="H67" s="66"/>
    </row>
    <row r="68" spans="4:8" x14ac:dyDescent="0.25">
      <c r="E68" s="40"/>
      <c r="F68" s="40"/>
      <c r="G68" s="40"/>
      <c r="H68" s="40"/>
    </row>
  </sheetData>
  <mergeCells count="11">
    <mergeCell ref="E3:G3"/>
    <mergeCell ref="D4:D18"/>
    <mergeCell ref="E24:G24"/>
    <mergeCell ref="D25:D33"/>
    <mergeCell ref="E37:G37"/>
    <mergeCell ref="E46:G46"/>
    <mergeCell ref="D47:D52"/>
    <mergeCell ref="B10:B11"/>
    <mergeCell ref="B13:B14"/>
    <mergeCell ref="B16:B17"/>
    <mergeCell ref="D38:D42"/>
  </mergeCells>
  <hyperlinks>
    <hyperlink ref="B6" location="Contents!A1" display="Contents"/>
    <hyperlink ref="B4" location="'c310'!A1" display="Prev"/>
    <hyperlink ref="B8" location="'Index of Integers'!A1" display="Next"/>
    <hyperlink ref="B10:B11" location="'Index of Integers'!A413" display="Index of Integers"/>
    <hyperlink ref="B13:B14" location="'Index of Parameters'!AO2" display="Index of Parameters"/>
    <hyperlink ref="B16:B17" location="'Index of Results'!AO2" display="Index of Results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2"/>
  <sheetViews>
    <sheetView zoomScale="85" zoomScaleNormal="85" workbookViewId="0"/>
  </sheetViews>
  <sheetFormatPr defaultColWidth="8.85546875" defaultRowHeight="15" x14ac:dyDescent="0.25"/>
  <cols>
    <col min="1" max="1" width="8.85546875" style="2"/>
    <col min="2" max="2" width="8" style="2" bestFit="1" customWidth="1"/>
    <col min="3" max="3" width="19.140625" style="1" customWidth="1"/>
    <col min="4" max="4" width="8.85546875" style="2"/>
    <col min="5" max="5" width="10.5703125" style="2" bestFit="1" customWidth="1"/>
    <col min="6" max="6" width="16.140625" style="2" customWidth="1"/>
    <col min="7" max="7" width="5.5703125" style="2" bestFit="1" customWidth="1"/>
    <col min="8" max="8" width="12.28515625" style="54" bestFit="1" customWidth="1"/>
    <col min="9" max="9" width="10.85546875" style="54" bestFit="1" customWidth="1"/>
    <col min="10" max="10" width="8.85546875" style="2"/>
    <col min="11" max="11" width="12" style="1" bestFit="1" customWidth="1"/>
    <col min="12" max="16384" width="8.85546875" style="2"/>
  </cols>
  <sheetData>
    <row r="1" spans="2:9" x14ac:dyDescent="0.25">
      <c r="C1" s="97" t="s">
        <v>56</v>
      </c>
    </row>
    <row r="2" spans="2:9" x14ac:dyDescent="0.25">
      <c r="B2" s="57" t="s">
        <v>38</v>
      </c>
      <c r="C2" s="98" t="s">
        <v>37</v>
      </c>
      <c r="D2" s="57" t="s">
        <v>39</v>
      </c>
    </row>
    <row r="3" spans="2:9" x14ac:dyDescent="0.25">
      <c r="B3" s="57"/>
      <c r="C3" s="98"/>
      <c r="D3" s="57"/>
    </row>
    <row r="4" spans="2:9" x14ac:dyDescent="0.25">
      <c r="B4" s="57" t="s">
        <v>0</v>
      </c>
      <c r="C4" s="57" t="s">
        <v>10</v>
      </c>
      <c r="D4" s="57" t="s">
        <v>20</v>
      </c>
      <c r="E4" s="57" t="s">
        <v>30</v>
      </c>
    </row>
    <row r="5" spans="2:9" x14ac:dyDescent="0.25">
      <c r="B5" s="57" t="s">
        <v>1</v>
      </c>
      <c r="C5" s="57" t="s">
        <v>11</v>
      </c>
      <c r="D5" s="57" t="s">
        <v>21</v>
      </c>
      <c r="E5" s="57" t="s">
        <v>31</v>
      </c>
    </row>
    <row r="6" spans="2:9" x14ac:dyDescent="0.25">
      <c r="B6" s="57" t="s">
        <v>2</v>
      </c>
      <c r="C6" s="57" t="s">
        <v>12</v>
      </c>
      <c r="D6" s="57" t="s">
        <v>22</v>
      </c>
      <c r="E6" s="57" t="s">
        <v>32</v>
      </c>
    </row>
    <row r="7" spans="2:9" x14ac:dyDescent="0.25">
      <c r="B7" s="57" t="s">
        <v>3</v>
      </c>
      <c r="C7" s="57" t="s">
        <v>13</v>
      </c>
      <c r="D7" s="57" t="s">
        <v>23</v>
      </c>
      <c r="E7" s="57" t="s">
        <v>33</v>
      </c>
    </row>
    <row r="8" spans="2:9" x14ac:dyDescent="0.25">
      <c r="B8" s="57" t="s">
        <v>4</v>
      </c>
      <c r="C8" s="57" t="s">
        <v>14</v>
      </c>
      <c r="D8" s="57" t="s">
        <v>24</v>
      </c>
      <c r="E8" s="57" t="s">
        <v>34</v>
      </c>
    </row>
    <row r="9" spans="2:9" x14ac:dyDescent="0.25">
      <c r="B9" s="57" t="s">
        <v>5</v>
      </c>
      <c r="C9" s="57" t="s">
        <v>15</v>
      </c>
      <c r="D9" s="57" t="s">
        <v>25</v>
      </c>
      <c r="E9" s="57" t="s">
        <v>35</v>
      </c>
    </row>
    <row r="10" spans="2:9" x14ac:dyDescent="0.25">
      <c r="B10" s="57" t="s">
        <v>6</v>
      </c>
      <c r="C10" s="57" t="s">
        <v>16</v>
      </c>
      <c r="D10" s="57" t="s">
        <v>26</v>
      </c>
      <c r="E10" s="57" t="s">
        <v>36</v>
      </c>
    </row>
    <row r="11" spans="2:9" x14ac:dyDescent="0.25">
      <c r="B11" s="57" t="s">
        <v>7</v>
      </c>
      <c r="C11" s="57" t="s">
        <v>17</v>
      </c>
      <c r="D11" s="57" t="s">
        <v>27</v>
      </c>
    </row>
    <row r="12" spans="2:9" x14ac:dyDescent="0.25">
      <c r="B12" s="57" t="s">
        <v>8</v>
      </c>
      <c r="C12" s="57" t="s">
        <v>18</v>
      </c>
      <c r="D12" s="57" t="s">
        <v>28</v>
      </c>
    </row>
    <row r="13" spans="2:9" x14ac:dyDescent="0.25">
      <c r="B13" s="57" t="s">
        <v>9</v>
      </c>
      <c r="C13" s="57" t="s">
        <v>19</v>
      </c>
      <c r="D13" s="57" t="s">
        <v>29</v>
      </c>
    </row>
    <row r="15" spans="2:9" x14ac:dyDescent="0.25">
      <c r="B15" s="39" t="s">
        <v>57</v>
      </c>
      <c r="E15" s="39" t="s">
        <v>58</v>
      </c>
    </row>
    <row r="16" spans="2:9" x14ac:dyDescent="0.25">
      <c r="B16" s="28" t="s">
        <v>59</v>
      </c>
      <c r="C16" s="99" t="s">
        <v>60</v>
      </c>
      <c r="E16" s="28" t="s">
        <v>59</v>
      </c>
      <c r="F16" s="28" t="s">
        <v>63</v>
      </c>
      <c r="G16" s="28" t="s">
        <v>60</v>
      </c>
      <c r="H16" s="100" t="s">
        <v>1404</v>
      </c>
      <c r="I16" s="100" t="s">
        <v>1405</v>
      </c>
    </row>
    <row r="17" spans="1:11" x14ac:dyDescent="0.25">
      <c r="A17" s="57" t="s">
        <v>1400</v>
      </c>
      <c r="B17" s="2" t="s">
        <v>61</v>
      </c>
      <c r="C17" s="2" t="s">
        <v>801</v>
      </c>
      <c r="D17" s="2" t="s">
        <v>811</v>
      </c>
      <c r="E17" s="2" t="s">
        <v>65</v>
      </c>
      <c r="F17" s="2" t="s">
        <v>66</v>
      </c>
      <c r="G17" s="2" t="s">
        <v>1030</v>
      </c>
      <c r="H17" s="54">
        <f t="shared" ref="H17:H21" si="0">LEN(G17)</f>
        <v>30</v>
      </c>
      <c r="I17" s="54">
        <v>98</v>
      </c>
      <c r="K17" s="97"/>
    </row>
    <row r="18" spans="1:11" x14ac:dyDescent="0.25">
      <c r="B18" s="2" t="s">
        <v>62</v>
      </c>
      <c r="C18" s="1" t="s">
        <v>1029</v>
      </c>
      <c r="D18" s="2" t="s">
        <v>811</v>
      </c>
      <c r="E18" s="2" t="s">
        <v>75</v>
      </c>
      <c r="F18" s="2" t="s">
        <v>80</v>
      </c>
      <c r="G18" s="2" t="s">
        <v>846</v>
      </c>
      <c r="H18" s="54">
        <f t="shared" si="0"/>
        <v>30</v>
      </c>
      <c r="I18" s="54">
        <v>99</v>
      </c>
    </row>
    <row r="19" spans="1:11" x14ac:dyDescent="0.25">
      <c r="A19" s="140" t="s">
        <v>1401</v>
      </c>
      <c r="B19" s="2" t="s">
        <v>67</v>
      </c>
      <c r="C19" s="1" t="s">
        <v>802</v>
      </c>
      <c r="D19" s="2" t="s">
        <v>811</v>
      </c>
      <c r="E19" s="2" t="s">
        <v>76</v>
      </c>
      <c r="F19" s="2" t="s">
        <v>79</v>
      </c>
      <c r="G19" s="2" t="s">
        <v>847</v>
      </c>
      <c r="H19" s="54">
        <f t="shared" si="0"/>
        <v>30</v>
      </c>
      <c r="I19" s="54">
        <v>99</v>
      </c>
    </row>
    <row r="20" spans="1:11" x14ac:dyDescent="0.25">
      <c r="A20" s="140"/>
      <c r="B20" s="2" t="s">
        <v>68</v>
      </c>
      <c r="C20" s="1" t="s">
        <v>803</v>
      </c>
      <c r="D20" s="2" t="s">
        <v>811</v>
      </c>
      <c r="E20" s="2" t="s">
        <v>77</v>
      </c>
      <c r="F20" s="2" t="s">
        <v>81</v>
      </c>
      <c r="G20" s="2" t="s">
        <v>848</v>
      </c>
      <c r="H20" s="54">
        <f t="shared" si="0"/>
        <v>30</v>
      </c>
      <c r="I20" s="54">
        <v>99</v>
      </c>
    </row>
    <row r="21" spans="1:11" x14ac:dyDescent="0.25">
      <c r="B21" s="2" t="s">
        <v>69</v>
      </c>
      <c r="C21" s="1" t="s">
        <v>804</v>
      </c>
      <c r="D21" s="2" t="s">
        <v>811</v>
      </c>
      <c r="E21" s="2" t="s">
        <v>78</v>
      </c>
      <c r="F21" s="2" t="s">
        <v>82</v>
      </c>
      <c r="G21" s="2" t="s">
        <v>849</v>
      </c>
      <c r="H21" s="54">
        <f t="shared" si="0"/>
        <v>30</v>
      </c>
      <c r="I21" s="54">
        <v>99</v>
      </c>
    </row>
    <row r="22" spans="1:11" x14ac:dyDescent="0.25">
      <c r="B22" s="2" t="s">
        <v>70</v>
      </c>
      <c r="C22" s="1" t="s">
        <v>805</v>
      </c>
      <c r="D22" s="2" t="s">
        <v>811</v>
      </c>
    </row>
    <row r="23" spans="1:11" x14ac:dyDescent="0.25">
      <c r="B23" s="2" t="s">
        <v>71</v>
      </c>
      <c r="C23" s="1" t="s">
        <v>806</v>
      </c>
      <c r="D23" s="2" t="s">
        <v>811</v>
      </c>
    </row>
    <row r="24" spans="1:11" x14ac:dyDescent="0.25">
      <c r="B24" s="2" t="s">
        <v>72</v>
      </c>
      <c r="C24" s="1" t="s">
        <v>807</v>
      </c>
      <c r="D24" s="2" t="s">
        <v>811</v>
      </c>
    </row>
    <row r="25" spans="1:11" x14ac:dyDescent="0.25">
      <c r="B25" s="2" t="s">
        <v>73</v>
      </c>
      <c r="C25" s="1" t="s">
        <v>808</v>
      </c>
      <c r="D25" s="2" t="s">
        <v>811</v>
      </c>
    </row>
    <row r="26" spans="1:11" x14ac:dyDescent="0.25">
      <c r="B26" s="2" t="s">
        <v>74</v>
      </c>
      <c r="C26" s="1" t="s">
        <v>809</v>
      </c>
      <c r="D26" s="2" t="s">
        <v>811</v>
      </c>
    </row>
    <row r="27" spans="1:11" x14ac:dyDescent="0.25">
      <c r="D27" s="2" t="s">
        <v>811</v>
      </c>
      <c r="E27" s="28" t="s">
        <v>59</v>
      </c>
      <c r="F27" s="28" t="s">
        <v>63</v>
      </c>
      <c r="G27" s="28" t="s">
        <v>60</v>
      </c>
      <c r="H27" s="100" t="s">
        <v>1404</v>
      </c>
      <c r="I27" s="100" t="s">
        <v>1405</v>
      </c>
    </row>
    <row r="28" spans="1:11" x14ac:dyDescent="0.25">
      <c r="A28" s="57" t="s">
        <v>1400</v>
      </c>
      <c r="B28" s="2" t="s">
        <v>83</v>
      </c>
      <c r="C28" s="1" t="s">
        <v>810</v>
      </c>
      <c r="D28" s="2" t="s">
        <v>811</v>
      </c>
      <c r="E28" s="2" t="s">
        <v>93</v>
      </c>
      <c r="F28" s="2" t="s">
        <v>98</v>
      </c>
      <c r="G28" s="2" t="s">
        <v>850</v>
      </c>
      <c r="H28" s="54">
        <f t="shared" ref="H28:H32" si="1">LEN(G28)</f>
        <v>60</v>
      </c>
      <c r="I28" s="54">
        <v>198</v>
      </c>
      <c r="K28" s="2"/>
    </row>
    <row r="29" spans="1:11" x14ac:dyDescent="0.25">
      <c r="B29" s="2" t="s">
        <v>84</v>
      </c>
      <c r="C29" s="1" t="s">
        <v>812</v>
      </c>
      <c r="D29" s="2" t="s">
        <v>811</v>
      </c>
      <c r="E29" s="2" t="s">
        <v>94</v>
      </c>
      <c r="F29" s="2" t="s">
        <v>99</v>
      </c>
      <c r="G29" s="2" t="s">
        <v>851</v>
      </c>
      <c r="H29" s="54">
        <f t="shared" si="1"/>
        <v>60</v>
      </c>
      <c r="I29" s="54">
        <v>197</v>
      </c>
      <c r="K29" s="2"/>
    </row>
    <row r="30" spans="1:11" x14ac:dyDescent="0.25">
      <c r="A30" s="140" t="s">
        <v>1401</v>
      </c>
      <c r="B30" s="2" t="s">
        <v>85</v>
      </c>
      <c r="C30" s="1" t="s">
        <v>813</v>
      </c>
      <c r="D30" s="2" t="s">
        <v>811</v>
      </c>
      <c r="E30" s="2" t="s">
        <v>95</v>
      </c>
      <c r="F30" s="2" t="s">
        <v>100</v>
      </c>
      <c r="G30" s="2" t="s">
        <v>852</v>
      </c>
      <c r="H30" s="54">
        <f t="shared" si="1"/>
        <v>60</v>
      </c>
      <c r="I30" s="54">
        <v>197</v>
      </c>
      <c r="K30" s="2"/>
    </row>
    <row r="31" spans="1:11" x14ac:dyDescent="0.25">
      <c r="A31" s="140"/>
      <c r="B31" s="2" t="s">
        <v>86</v>
      </c>
      <c r="C31" s="1" t="s">
        <v>814</v>
      </c>
      <c r="D31" s="2" t="s">
        <v>811</v>
      </c>
      <c r="E31" s="2" t="s">
        <v>96</v>
      </c>
      <c r="F31" s="2" t="s">
        <v>101</v>
      </c>
      <c r="G31" s="2" t="s">
        <v>853</v>
      </c>
      <c r="H31" s="54">
        <f t="shared" si="1"/>
        <v>60</v>
      </c>
      <c r="I31" s="54">
        <v>198</v>
      </c>
      <c r="K31" s="2"/>
    </row>
    <row r="32" spans="1:11" x14ac:dyDescent="0.25">
      <c r="B32" s="2" t="s">
        <v>87</v>
      </c>
      <c r="C32" s="1" t="s">
        <v>815</v>
      </c>
      <c r="D32" s="2" t="s">
        <v>811</v>
      </c>
      <c r="E32" s="2" t="s">
        <v>97</v>
      </c>
      <c r="F32" s="2" t="s">
        <v>102</v>
      </c>
      <c r="G32" s="2" t="s">
        <v>854</v>
      </c>
      <c r="H32" s="54">
        <f t="shared" si="1"/>
        <v>60</v>
      </c>
      <c r="I32" s="54">
        <v>199</v>
      </c>
      <c r="K32" s="2"/>
    </row>
    <row r="33" spans="1:9" x14ac:dyDescent="0.25">
      <c r="B33" s="2" t="s">
        <v>88</v>
      </c>
      <c r="C33" s="1" t="s">
        <v>816</v>
      </c>
      <c r="D33" s="2" t="s">
        <v>811</v>
      </c>
    </row>
    <row r="34" spans="1:9" x14ac:dyDescent="0.25">
      <c r="B34" s="2" t="s">
        <v>89</v>
      </c>
      <c r="C34" s="1" t="s">
        <v>817</v>
      </c>
      <c r="D34" s="2" t="s">
        <v>811</v>
      </c>
    </row>
    <row r="35" spans="1:9" x14ac:dyDescent="0.25">
      <c r="B35" s="2" t="s">
        <v>90</v>
      </c>
      <c r="C35" s="1" t="s">
        <v>819</v>
      </c>
      <c r="D35" s="2" t="s">
        <v>811</v>
      </c>
    </row>
    <row r="36" spans="1:9" x14ac:dyDescent="0.25">
      <c r="B36" s="2" t="s">
        <v>91</v>
      </c>
      <c r="C36" s="1" t="s">
        <v>818</v>
      </c>
      <c r="D36" s="2" t="s">
        <v>811</v>
      </c>
    </row>
    <row r="37" spans="1:9" x14ac:dyDescent="0.25">
      <c r="B37" s="2" t="s">
        <v>92</v>
      </c>
      <c r="C37" s="1" t="s">
        <v>820</v>
      </c>
      <c r="D37" s="2" t="s">
        <v>811</v>
      </c>
    </row>
    <row r="38" spans="1:9" x14ac:dyDescent="0.25">
      <c r="D38" s="2" t="s">
        <v>811</v>
      </c>
      <c r="E38" s="28" t="s">
        <v>59</v>
      </c>
      <c r="F38" s="28" t="s">
        <v>63</v>
      </c>
      <c r="G38" s="28" t="s">
        <v>60</v>
      </c>
      <c r="H38" s="100" t="s">
        <v>1404</v>
      </c>
      <c r="I38" s="100" t="s">
        <v>1405</v>
      </c>
    </row>
    <row r="39" spans="1:9" x14ac:dyDescent="0.25">
      <c r="A39" s="57" t="s">
        <v>1400</v>
      </c>
      <c r="B39" s="2" t="s">
        <v>103</v>
      </c>
      <c r="C39" s="1" t="s">
        <v>821</v>
      </c>
      <c r="D39" s="2" t="s">
        <v>811</v>
      </c>
      <c r="E39" s="2" t="s">
        <v>112</v>
      </c>
      <c r="F39" s="2" t="s">
        <v>117</v>
      </c>
      <c r="G39" s="2" t="s">
        <v>855</v>
      </c>
      <c r="H39" s="54">
        <f t="shared" ref="H39:H43" si="2">LEN(G39)</f>
        <v>65</v>
      </c>
      <c r="I39" s="54">
        <v>216</v>
      </c>
    </row>
    <row r="40" spans="1:9" x14ac:dyDescent="0.25">
      <c r="B40" s="2" t="s">
        <v>104</v>
      </c>
      <c r="C40" s="1" t="s">
        <v>826</v>
      </c>
      <c r="D40" s="2" t="s">
        <v>811</v>
      </c>
      <c r="E40" s="2" t="s">
        <v>113</v>
      </c>
      <c r="F40" s="2" t="s">
        <v>118</v>
      </c>
      <c r="G40" s="2" t="s">
        <v>856</v>
      </c>
      <c r="H40" s="54">
        <f t="shared" si="2"/>
        <v>65</v>
      </c>
      <c r="I40" s="54">
        <v>215</v>
      </c>
    </row>
    <row r="41" spans="1:9" x14ac:dyDescent="0.25">
      <c r="A41" s="140" t="s">
        <v>1401</v>
      </c>
      <c r="B41" s="2" t="s">
        <v>105</v>
      </c>
      <c r="C41" s="1" t="s">
        <v>822</v>
      </c>
      <c r="D41" s="2" t="s">
        <v>811</v>
      </c>
      <c r="E41" s="2" t="s">
        <v>114</v>
      </c>
      <c r="F41" s="2" t="s">
        <v>119</v>
      </c>
      <c r="G41" s="2" t="s">
        <v>857</v>
      </c>
      <c r="H41" s="54">
        <f t="shared" si="2"/>
        <v>65</v>
      </c>
      <c r="I41" s="54">
        <v>213</v>
      </c>
    </row>
    <row r="42" spans="1:9" x14ac:dyDescent="0.25">
      <c r="A42" s="140"/>
      <c r="B42" s="2" t="s">
        <v>106</v>
      </c>
      <c r="C42" s="1" t="s">
        <v>827</v>
      </c>
      <c r="D42" s="2" t="s">
        <v>811</v>
      </c>
      <c r="E42" s="2" t="s">
        <v>115</v>
      </c>
      <c r="F42" s="2" t="s">
        <v>120</v>
      </c>
      <c r="G42" s="2" t="s">
        <v>858</v>
      </c>
      <c r="H42" s="54">
        <f t="shared" si="2"/>
        <v>65</v>
      </c>
      <c r="I42" s="54">
        <v>215</v>
      </c>
    </row>
    <row r="43" spans="1:9" x14ac:dyDescent="0.25">
      <c r="B43" s="2" t="s">
        <v>107</v>
      </c>
      <c r="C43" s="1" t="s">
        <v>823</v>
      </c>
      <c r="D43" s="2" t="s">
        <v>811</v>
      </c>
      <c r="E43" s="2" t="s">
        <v>116</v>
      </c>
      <c r="F43" s="2" t="s">
        <v>121</v>
      </c>
      <c r="G43" s="2" t="s">
        <v>859</v>
      </c>
      <c r="H43" s="54">
        <f t="shared" si="2"/>
        <v>65</v>
      </c>
      <c r="I43" s="54">
        <v>215</v>
      </c>
    </row>
    <row r="44" spans="1:9" x14ac:dyDescent="0.25">
      <c r="B44" s="2" t="s">
        <v>106</v>
      </c>
      <c r="C44" s="1" t="s">
        <v>828</v>
      </c>
      <c r="D44" s="2" t="s">
        <v>811</v>
      </c>
    </row>
    <row r="45" spans="1:9" x14ac:dyDescent="0.25">
      <c r="B45" s="2" t="s">
        <v>108</v>
      </c>
      <c r="C45" s="1" t="s">
        <v>824</v>
      </c>
      <c r="D45" s="2" t="s">
        <v>811</v>
      </c>
    </row>
    <row r="46" spans="1:9" x14ac:dyDescent="0.25">
      <c r="B46" s="2" t="s">
        <v>109</v>
      </c>
      <c r="C46" s="1" t="s">
        <v>829</v>
      </c>
      <c r="D46" s="2" t="s">
        <v>811</v>
      </c>
    </row>
    <row r="47" spans="1:9" x14ac:dyDescent="0.25">
      <c r="B47" s="2" t="s">
        <v>110</v>
      </c>
      <c r="C47" s="1" t="s">
        <v>825</v>
      </c>
      <c r="D47" s="2" t="s">
        <v>811</v>
      </c>
    </row>
    <row r="48" spans="1:9" x14ac:dyDescent="0.25">
      <c r="B48" s="2" t="s">
        <v>111</v>
      </c>
      <c r="C48" s="1" t="s">
        <v>830</v>
      </c>
      <c r="D48" s="2" t="s">
        <v>811</v>
      </c>
    </row>
    <row r="49" spans="1:9" x14ac:dyDescent="0.25">
      <c r="D49" s="2" t="s">
        <v>811</v>
      </c>
      <c r="E49" s="28" t="s">
        <v>59</v>
      </c>
      <c r="F49" s="28" t="s">
        <v>63</v>
      </c>
      <c r="G49" s="28" t="s">
        <v>60</v>
      </c>
      <c r="H49" s="100" t="s">
        <v>1404</v>
      </c>
      <c r="I49" s="100" t="s">
        <v>1405</v>
      </c>
    </row>
    <row r="50" spans="1:9" x14ac:dyDescent="0.25">
      <c r="A50" s="57" t="s">
        <v>1400</v>
      </c>
      <c r="B50" s="2" t="s">
        <v>122</v>
      </c>
      <c r="C50" s="2" t="s">
        <v>831</v>
      </c>
      <c r="D50" s="2" t="s">
        <v>811</v>
      </c>
      <c r="E50" s="2" t="s">
        <v>132</v>
      </c>
      <c r="F50" s="2" t="s">
        <v>137</v>
      </c>
      <c r="G50" s="2" t="s">
        <v>1032</v>
      </c>
      <c r="H50" s="54">
        <f>LEN(G50)</f>
        <v>70</v>
      </c>
      <c r="I50" s="54">
        <v>233</v>
      </c>
    </row>
    <row r="51" spans="1:9" x14ac:dyDescent="0.25">
      <c r="B51" s="2" t="s">
        <v>123</v>
      </c>
      <c r="C51" s="1" t="s">
        <v>1031</v>
      </c>
      <c r="D51" s="2" t="s">
        <v>811</v>
      </c>
      <c r="E51" s="2" t="s">
        <v>133</v>
      </c>
      <c r="F51" s="2" t="s">
        <v>138</v>
      </c>
      <c r="G51" s="2" t="s">
        <v>860</v>
      </c>
      <c r="H51" s="54">
        <f>LEN(G51)</f>
        <v>70</v>
      </c>
      <c r="I51" s="54">
        <v>231</v>
      </c>
    </row>
    <row r="52" spans="1:9" x14ac:dyDescent="0.25">
      <c r="A52" s="140" t="s">
        <v>1401</v>
      </c>
      <c r="B52" s="2" t="s">
        <v>124</v>
      </c>
      <c r="C52" s="2" t="s">
        <v>832</v>
      </c>
      <c r="D52" s="2" t="s">
        <v>811</v>
      </c>
      <c r="E52" s="2" t="s">
        <v>134</v>
      </c>
      <c r="F52" s="2" t="s">
        <v>139</v>
      </c>
      <c r="G52" s="1" t="s">
        <v>861</v>
      </c>
      <c r="H52" s="54">
        <f>LEN(G52)</f>
        <v>70</v>
      </c>
      <c r="I52" s="54">
        <v>233</v>
      </c>
    </row>
    <row r="53" spans="1:9" x14ac:dyDescent="0.25">
      <c r="A53" s="140"/>
      <c r="B53" s="2" t="s">
        <v>125</v>
      </c>
      <c r="C53" s="2" t="s">
        <v>833</v>
      </c>
      <c r="D53" s="2" t="s">
        <v>811</v>
      </c>
      <c r="E53" s="2" t="s">
        <v>135</v>
      </c>
      <c r="F53" s="2" t="s">
        <v>140</v>
      </c>
      <c r="G53" s="2" t="s">
        <v>1035</v>
      </c>
      <c r="H53" s="54">
        <f>LEN(G53)</f>
        <v>70</v>
      </c>
      <c r="I53" s="54">
        <v>230</v>
      </c>
    </row>
    <row r="54" spans="1:9" x14ac:dyDescent="0.25">
      <c r="B54" s="2" t="s">
        <v>126</v>
      </c>
      <c r="C54" s="2" t="s">
        <v>834</v>
      </c>
      <c r="D54" s="2" t="s">
        <v>811</v>
      </c>
      <c r="E54" s="2" t="s">
        <v>136</v>
      </c>
      <c r="F54" s="2" t="s">
        <v>141</v>
      </c>
      <c r="G54" s="2" t="s">
        <v>862</v>
      </c>
      <c r="H54" s="54">
        <f>LEN(G54)</f>
        <v>70</v>
      </c>
      <c r="I54" s="54">
        <v>230</v>
      </c>
    </row>
    <row r="55" spans="1:9" x14ac:dyDescent="0.25">
      <c r="B55" s="2" t="s">
        <v>127</v>
      </c>
      <c r="C55" s="2" t="s">
        <v>835</v>
      </c>
      <c r="D55" s="2" t="s">
        <v>811</v>
      </c>
    </row>
    <row r="56" spans="1:9" x14ac:dyDescent="0.25">
      <c r="B56" s="2" t="s">
        <v>128</v>
      </c>
      <c r="C56" s="1" t="s">
        <v>1033</v>
      </c>
      <c r="D56" s="2" t="s">
        <v>811</v>
      </c>
    </row>
    <row r="57" spans="1:9" x14ac:dyDescent="0.25">
      <c r="B57" s="2" t="s">
        <v>129</v>
      </c>
      <c r="C57" s="1" t="s">
        <v>1034</v>
      </c>
      <c r="D57" s="2" t="s">
        <v>811</v>
      </c>
    </row>
    <row r="58" spans="1:9" x14ac:dyDescent="0.25">
      <c r="B58" s="2" t="s">
        <v>130</v>
      </c>
      <c r="C58" s="2" t="s">
        <v>836</v>
      </c>
      <c r="D58" s="2" t="s">
        <v>811</v>
      </c>
    </row>
    <row r="59" spans="1:9" x14ac:dyDescent="0.25">
      <c r="B59" s="2" t="s">
        <v>131</v>
      </c>
      <c r="C59" s="2" t="s">
        <v>837</v>
      </c>
      <c r="D59" s="2" t="s">
        <v>811</v>
      </c>
    </row>
    <row r="60" spans="1:9" x14ac:dyDescent="0.25">
      <c r="D60" s="2" t="str">
        <f t="shared" ref="D60:D104" si="3">SUBSTITUTE(C60," ","")</f>
        <v/>
      </c>
      <c r="E60" s="28" t="s">
        <v>59</v>
      </c>
      <c r="F60" s="28" t="s">
        <v>63</v>
      </c>
      <c r="G60" s="28" t="s">
        <v>60</v>
      </c>
      <c r="H60" s="100" t="s">
        <v>1404</v>
      </c>
      <c r="I60" s="100" t="s">
        <v>1405</v>
      </c>
    </row>
    <row r="61" spans="1:9" x14ac:dyDescent="0.25">
      <c r="A61" s="57" t="s">
        <v>1400</v>
      </c>
      <c r="B61" s="2" t="s">
        <v>167</v>
      </c>
      <c r="C61" s="1" t="s">
        <v>1036</v>
      </c>
      <c r="D61" s="2" t="s">
        <v>811</v>
      </c>
      <c r="E61" s="2" t="s">
        <v>162</v>
      </c>
      <c r="F61" s="2" t="s">
        <v>176</v>
      </c>
      <c r="G61" s="2" t="s">
        <v>1037</v>
      </c>
      <c r="H61" s="54">
        <f t="shared" ref="H61:H65" si="4">LEN(G61)</f>
        <v>75</v>
      </c>
      <c r="I61" s="54">
        <v>246</v>
      </c>
    </row>
    <row r="62" spans="1:9" x14ac:dyDescent="0.25">
      <c r="B62" s="2" t="s">
        <v>168</v>
      </c>
      <c r="C62" s="2" t="s">
        <v>838</v>
      </c>
      <c r="D62" s="2" t="s">
        <v>811</v>
      </c>
      <c r="E62" s="2" t="s">
        <v>163</v>
      </c>
      <c r="F62" s="2" t="s">
        <v>177</v>
      </c>
      <c r="G62" s="2" t="s">
        <v>863</v>
      </c>
      <c r="H62" s="54">
        <f t="shared" si="4"/>
        <v>75</v>
      </c>
      <c r="I62" s="54">
        <v>248</v>
      </c>
    </row>
    <row r="63" spans="1:9" x14ac:dyDescent="0.25">
      <c r="A63" s="140" t="s">
        <v>1401</v>
      </c>
      <c r="B63" s="2" t="s">
        <v>169</v>
      </c>
      <c r="C63" s="2" t="s">
        <v>839</v>
      </c>
      <c r="D63" s="2" t="s">
        <v>811</v>
      </c>
      <c r="E63" s="2" t="s">
        <v>164</v>
      </c>
      <c r="F63" s="2" t="s">
        <v>178</v>
      </c>
      <c r="G63" s="2" t="s">
        <v>865</v>
      </c>
      <c r="H63" s="54">
        <f t="shared" si="4"/>
        <v>75</v>
      </c>
      <c r="I63" s="54">
        <v>249</v>
      </c>
    </row>
    <row r="64" spans="1:9" x14ac:dyDescent="0.25">
      <c r="A64" s="140"/>
      <c r="B64" s="2" t="s">
        <v>864</v>
      </c>
      <c r="C64" s="2" t="s">
        <v>840</v>
      </c>
      <c r="D64" s="2" t="s">
        <v>811</v>
      </c>
      <c r="E64" s="2" t="s">
        <v>165</v>
      </c>
      <c r="F64" s="2" t="s">
        <v>179</v>
      </c>
      <c r="G64" s="2" t="s">
        <v>1039</v>
      </c>
      <c r="H64" s="54">
        <f t="shared" si="4"/>
        <v>75</v>
      </c>
      <c r="I64" s="54">
        <v>248</v>
      </c>
    </row>
    <row r="65" spans="1:9" x14ac:dyDescent="0.25">
      <c r="B65" s="2" t="s">
        <v>171</v>
      </c>
      <c r="C65" s="1" t="s">
        <v>841</v>
      </c>
      <c r="D65" s="2" t="s">
        <v>811</v>
      </c>
      <c r="E65" s="2" t="s">
        <v>166</v>
      </c>
      <c r="F65" s="2" t="s">
        <v>180</v>
      </c>
      <c r="G65" s="2" t="s">
        <v>866</v>
      </c>
      <c r="H65" s="54">
        <f t="shared" si="4"/>
        <v>75</v>
      </c>
      <c r="I65" s="54">
        <v>248</v>
      </c>
    </row>
    <row r="66" spans="1:9" x14ac:dyDescent="0.25">
      <c r="B66" s="2" t="s">
        <v>170</v>
      </c>
      <c r="C66" s="2" t="s">
        <v>842</v>
      </c>
      <c r="D66" s="2" t="s">
        <v>811</v>
      </c>
    </row>
    <row r="67" spans="1:9" x14ac:dyDescent="0.25">
      <c r="B67" s="2" t="s">
        <v>172</v>
      </c>
      <c r="C67" s="1" t="s">
        <v>1038</v>
      </c>
      <c r="D67" s="2" t="s">
        <v>811</v>
      </c>
    </row>
    <row r="68" spans="1:9" x14ac:dyDescent="0.25">
      <c r="B68" s="2" t="s">
        <v>173</v>
      </c>
      <c r="C68" s="2" t="s">
        <v>843</v>
      </c>
      <c r="D68" s="2" t="s">
        <v>811</v>
      </c>
    </row>
    <row r="69" spans="1:9" x14ac:dyDescent="0.25">
      <c r="B69" s="2" t="s">
        <v>174</v>
      </c>
      <c r="C69" s="2" t="s">
        <v>844</v>
      </c>
      <c r="D69" s="2" t="s">
        <v>811</v>
      </c>
    </row>
    <row r="70" spans="1:9" x14ac:dyDescent="0.25">
      <c r="B70" s="2" t="s">
        <v>175</v>
      </c>
      <c r="C70" s="2" t="s">
        <v>845</v>
      </c>
      <c r="D70" s="2" t="s">
        <v>811</v>
      </c>
    </row>
    <row r="71" spans="1:9" x14ac:dyDescent="0.25">
      <c r="D71" s="2" t="str">
        <f t="shared" si="3"/>
        <v/>
      </c>
      <c r="E71" s="28" t="s">
        <v>59</v>
      </c>
      <c r="F71" s="28" t="s">
        <v>63</v>
      </c>
      <c r="G71" s="28" t="s">
        <v>60</v>
      </c>
      <c r="H71" s="100" t="s">
        <v>1404</v>
      </c>
      <c r="I71" s="100" t="s">
        <v>1405</v>
      </c>
    </row>
    <row r="72" spans="1:9" x14ac:dyDescent="0.25">
      <c r="A72" s="57" t="s">
        <v>1400</v>
      </c>
      <c r="B72" s="2" t="s">
        <v>181</v>
      </c>
      <c r="C72" s="2" t="s">
        <v>1040</v>
      </c>
      <c r="D72" s="2" t="s">
        <v>811</v>
      </c>
      <c r="E72" s="2" t="s">
        <v>191</v>
      </c>
      <c r="F72" s="2" t="s">
        <v>196</v>
      </c>
      <c r="G72" s="2" t="s">
        <v>1041</v>
      </c>
      <c r="H72" s="54">
        <f t="shared" ref="H72:H76" si="5">LEN(G72)</f>
        <v>80</v>
      </c>
      <c r="I72" s="54">
        <v>265</v>
      </c>
    </row>
    <row r="73" spans="1:9" x14ac:dyDescent="0.25">
      <c r="B73" s="2" t="s">
        <v>182</v>
      </c>
      <c r="C73" s="2" t="s">
        <v>867</v>
      </c>
      <c r="D73" s="2" t="s">
        <v>811</v>
      </c>
      <c r="E73" s="2" t="s">
        <v>192</v>
      </c>
      <c r="F73" s="2" t="s">
        <v>197</v>
      </c>
      <c r="G73" s="2" t="s">
        <v>969</v>
      </c>
      <c r="H73" s="54">
        <f t="shared" si="5"/>
        <v>80</v>
      </c>
      <c r="I73" s="54">
        <v>264</v>
      </c>
    </row>
    <row r="74" spans="1:9" x14ac:dyDescent="0.25">
      <c r="A74" s="140" t="s">
        <v>1401</v>
      </c>
      <c r="B74" s="2" t="s">
        <v>183</v>
      </c>
      <c r="C74" s="2" t="s">
        <v>868</v>
      </c>
      <c r="D74" s="2" t="s">
        <v>811</v>
      </c>
      <c r="E74" s="2" t="s">
        <v>193</v>
      </c>
      <c r="F74" s="2" t="s">
        <v>198</v>
      </c>
      <c r="G74" s="2" t="s">
        <v>1043</v>
      </c>
      <c r="H74" s="54">
        <f t="shared" si="5"/>
        <v>80</v>
      </c>
      <c r="I74" s="54">
        <v>265</v>
      </c>
    </row>
    <row r="75" spans="1:9" x14ac:dyDescent="0.25">
      <c r="A75" s="140"/>
      <c r="B75" s="2" t="s">
        <v>184</v>
      </c>
      <c r="C75" s="2" t="s">
        <v>869</v>
      </c>
      <c r="D75" s="2" t="s">
        <v>811</v>
      </c>
      <c r="E75" s="2" t="s">
        <v>194</v>
      </c>
      <c r="F75" s="2" t="s">
        <v>199</v>
      </c>
      <c r="G75" s="2" t="s">
        <v>970</v>
      </c>
      <c r="H75" s="54">
        <f t="shared" si="5"/>
        <v>80</v>
      </c>
      <c r="I75" s="54">
        <v>265</v>
      </c>
    </row>
    <row r="76" spans="1:9" x14ac:dyDescent="0.25">
      <c r="B76" s="2" t="s">
        <v>185</v>
      </c>
      <c r="C76" s="2" t="s">
        <v>1042</v>
      </c>
      <c r="D76" s="2" t="s">
        <v>811</v>
      </c>
      <c r="E76" s="2" t="s">
        <v>195</v>
      </c>
      <c r="F76" s="2" t="s">
        <v>200</v>
      </c>
      <c r="G76" s="2" t="s">
        <v>971</v>
      </c>
      <c r="H76" s="54">
        <f t="shared" si="5"/>
        <v>80</v>
      </c>
      <c r="I76" s="54">
        <v>263</v>
      </c>
    </row>
    <row r="77" spans="1:9" x14ac:dyDescent="0.25">
      <c r="B77" s="2" t="s">
        <v>186</v>
      </c>
      <c r="C77" s="2" t="s">
        <v>870</v>
      </c>
      <c r="D77" s="2" t="s">
        <v>811</v>
      </c>
    </row>
    <row r="78" spans="1:9" x14ac:dyDescent="0.25">
      <c r="B78" s="2" t="s">
        <v>187</v>
      </c>
      <c r="C78" s="2" t="s">
        <v>871</v>
      </c>
      <c r="D78" s="2" t="s">
        <v>811</v>
      </c>
    </row>
    <row r="79" spans="1:9" x14ac:dyDescent="0.25">
      <c r="B79" s="2" t="s">
        <v>188</v>
      </c>
      <c r="C79" s="2" t="s">
        <v>872</v>
      </c>
      <c r="D79" s="2" t="s">
        <v>811</v>
      </c>
    </row>
    <row r="80" spans="1:9" x14ac:dyDescent="0.25">
      <c r="B80" s="2" t="s">
        <v>189</v>
      </c>
      <c r="C80" s="2" t="s">
        <v>873</v>
      </c>
      <c r="D80" s="2" t="s">
        <v>811</v>
      </c>
    </row>
    <row r="81" spans="1:11" x14ac:dyDescent="0.25">
      <c r="B81" s="2" t="s">
        <v>190</v>
      </c>
      <c r="C81" s="2" t="s">
        <v>874</v>
      </c>
      <c r="D81" s="2" t="s">
        <v>811</v>
      </c>
    </row>
    <row r="82" spans="1:11" x14ac:dyDescent="0.25">
      <c r="D82" s="2" t="str">
        <f t="shared" si="3"/>
        <v/>
      </c>
      <c r="E82" s="28" t="s">
        <v>59</v>
      </c>
      <c r="F82" s="28" t="s">
        <v>63</v>
      </c>
      <c r="G82" s="28" t="s">
        <v>60</v>
      </c>
      <c r="H82" s="100" t="s">
        <v>1404</v>
      </c>
      <c r="I82" s="100" t="s">
        <v>1405</v>
      </c>
    </row>
    <row r="83" spans="1:11" x14ac:dyDescent="0.25">
      <c r="A83" s="57" t="s">
        <v>1400</v>
      </c>
      <c r="B83" s="2" t="s">
        <v>206</v>
      </c>
      <c r="C83" s="2" t="s">
        <v>875</v>
      </c>
      <c r="D83" s="2" t="s">
        <v>811</v>
      </c>
      <c r="E83" s="2" t="s">
        <v>201</v>
      </c>
      <c r="F83" s="2" t="s">
        <v>216</v>
      </c>
      <c r="G83" s="2" t="s">
        <v>972</v>
      </c>
      <c r="H83" s="54">
        <f>LEN(G83)</f>
        <v>85</v>
      </c>
      <c r="I83" s="54">
        <v>281</v>
      </c>
    </row>
    <row r="84" spans="1:11" x14ac:dyDescent="0.25">
      <c r="B84" s="2" t="s">
        <v>207</v>
      </c>
      <c r="C84" s="2" t="s">
        <v>876</v>
      </c>
      <c r="D84" s="2" t="s">
        <v>811</v>
      </c>
      <c r="E84" s="2" t="s">
        <v>202</v>
      </c>
      <c r="F84" s="2" t="s">
        <v>217</v>
      </c>
      <c r="G84" s="2" t="s">
        <v>973</v>
      </c>
      <c r="H84" s="54">
        <f>LEN(G84)</f>
        <v>85</v>
      </c>
      <c r="I84" s="54">
        <v>280</v>
      </c>
    </row>
    <row r="85" spans="1:11" x14ac:dyDescent="0.25">
      <c r="A85" s="140" t="s">
        <v>1401</v>
      </c>
      <c r="B85" s="2" t="s">
        <v>208</v>
      </c>
      <c r="C85" s="2" t="s">
        <v>877</v>
      </c>
      <c r="D85" s="2" t="s">
        <v>811</v>
      </c>
      <c r="E85" s="2" t="s">
        <v>203</v>
      </c>
      <c r="F85" s="2" t="s">
        <v>218</v>
      </c>
      <c r="G85" s="2" t="s">
        <v>1045</v>
      </c>
      <c r="H85" s="54">
        <f>LEN(G85)</f>
        <v>85</v>
      </c>
      <c r="I85" s="54">
        <v>280</v>
      </c>
      <c r="K85" s="101"/>
    </row>
    <row r="86" spans="1:11" x14ac:dyDescent="0.25">
      <c r="A86" s="140"/>
      <c r="B86" s="2" t="s">
        <v>209</v>
      </c>
      <c r="C86" s="2" t="s">
        <v>878</v>
      </c>
      <c r="D86" s="2" t="s">
        <v>811</v>
      </c>
      <c r="E86" s="2" t="s">
        <v>204</v>
      </c>
      <c r="F86" s="2" t="s">
        <v>219</v>
      </c>
      <c r="G86" s="2" t="s">
        <v>974</v>
      </c>
      <c r="H86" s="54">
        <f>LEN(G86)</f>
        <v>85</v>
      </c>
      <c r="I86" s="54">
        <v>282</v>
      </c>
    </row>
    <row r="87" spans="1:11" x14ac:dyDescent="0.25">
      <c r="B87" s="2" t="s">
        <v>210</v>
      </c>
      <c r="C87" s="2" t="s">
        <v>1044</v>
      </c>
      <c r="D87" s="2" t="s">
        <v>811</v>
      </c>
      <c r="E87" s="2" t="s">
        <v>205</v>
      </c>
      <c r="F87" s="2" t="s">
        <v>220</v>
      </c>
      <c r="G87" s="2" t="s">
        <v>1047</v>
      </c>
      <c r="H87" s="54">
        <f>LEN(G87)</f>
        <v>85</v>
      </c>
      <c r="I87" s="54">
        <v>280</v>
      </c>
    </row>
    <row r="88" spans="1:11" x14ac:dyDescent="0.25">
      <c r="B88" s="2" t="s">
        <v>211</v>
      </c>
      <c r="C88" s="2" t="s">
        <v>879</v>
      </c>
      <c r="D88" s="2" t="s">
        <v>811</v>
      </c>
    </row>
    <row r="89" spans="1:11" x14ac:dyDescent="0.25">
      <c r="B89" s="2" t="s">
        <v>212</v>
      </c>
      <c r="C89" s="2" t="s">
        <v>880</v>
      </c>
      <c r="D89" s="2" t="s">
        <v>811</v>
      </c>
    </row>
    <row r="90" spans="1:11" x14ac:dyDescent="0.25">
      <c r="B90" s="2" t="s">
        <v>213</v>
      </c>
      <c r="C90" s="2" t="s">
        <v>881</v>
      </c>
      <c r="D90" s="2" t="s">
        <v>811</v>
      </c>
    </row>
    <row r="91" spans="1:11" x14ac:dyDescent="0.25">
      <c r="B91" s="2" t="s">
        <v>214</v>
      </c>
      <c r="C91" s="2" t="s">
        <v>1046</v>
      </c>
      <c r="D91" s="2" t="s">
        <v>811</v>
      </c>
    </row>
    <row r="92" spans="1:11" x14ac:dyDescent="0.25">
      <c r="B92" s="2" t="s">
        <v>215</v>
      </c>
      <c r="C92" s="2" t="s">
        <v>879</v>
      </c>
      <c r="D92" s="2" t="s">
        <v>811</v>
      </c>
    </row>
    <row r="93" spans="1:11" x14ac:dyDescent="0.25">
      <c r="D93" s="2" t="str">
        <f t="shared" si="3"/>
        <v/>
      </c>
      <c r="E93" s="28" t="s">
        <v>59</v>
      </c>
      <c r="F93" s="28" t="s">
        <v>63</v>
      </c>
      <c r="G93" s="28" t="s">
        <v>60</v>
      </c>
      <c r="H93" s="100" t="s">
        <v>1404</v>
      </c>
      <c r="I93" s="100" t="s">
        <v>1405</v>
      </c>
    </row>
    <row r="94" spans="1:11" x14ac:dyDescent="0.25">
      <c r="A94" s="57" t="s">
        <v>1400</v>
      </c>
      <c r="B94" s="2" t="s">
        <v>226</v>
      </c>
      <c r="C94" s="2" t="s">
        <v>1049</v>
      </c>
      <c r="D94" s="2" t="s">
        <v>811</v>
      </c>
      <c r="E94" s="2" t="s">
        <v>221</v>
      </c>
      <c r="F94" s="2" t="s">
        <v>446</v>
      </c>
      <c r="G94" s="2" t="s">
        <v>1050</v>
      </c>
      <c r="H94" s="54">
        <f>LEN(G94)</f>
        <v>90</v>
      </c>
      <c r="I94" s="54">
        <v>298</v>
      </c>
    </row>
    <row r="95" spans="1:11" x14ac:dyDescent="0.25">
      <c r="B95" s="2" t="s">
        <v>227</v>
      </c>
      <c r="C95" s="2" t="s">
        <v>1048</v>
      </c>
      <c r="D95" s="2" t="s">
        <v>811</v>
      </c>
      <c r="E95" s="2" t="s">
        <v>222</v>
      </c>
      <c r="F95" s="2" t="s">
        <v>447</v>
      </c>
      <c r="G95" s="2" t="s">
        <v>975</v>
      </c>
      <c r="H95" s="54">
        <f>LEN(G95)</f>
        <v>90</v>
      </c>
      <c r="I95" s="54">
        <v>297</v>
      </c>
    </row>
    <row r="96" spans="1:11" x14ac:dyDescent="0.25">
      <c r="A96" s="140" t="s">
        <v>1401</v>
      </c>
      <c r="B96" s="2" t="s">
        <v>228</v>
      </c>
      <c r="C96" s="2" t="s">
        <v>882</v>
      </c>
      <c r="D96" s="2" t="s">
        <v>811</v>
      </c>
      <c r="E96" s="2" t="s">
        <v>223</v>
      </c>
      <c r="F96" s="2" t="s">
        <v>448</v>
      </c>
      <c r="G96" s="2" t="s">
        <v>976</v>
      </c>
      <c r="H96" s="54">
        <f>LEN(G96)</f>
        <v>90</v>
      </c>
      <c r="I96" s="54">
        <v>299</v>
      </c>
      <c r="K96" s="101"/>
    </row>
    <row r="97" spans="1:11" x14ac:dyDescent="0.25">
      <c r="A97" s="140"/>
      <c r="B97" s="2" t="s">
        <v>229</v>
      </c>
      <c r="C97" s="2" t="s">
        <v>883</v>
      </c>
      <c r="D97" s="2" t="s">
        <v>811</v>
      </c>
      <c r="E97" s="2" t="s">
        <v>224</v>
      </c>
      <c r="F97" s="2" t="s">
        <v>449</v>
      </c>
      <c r="G97" s="2" t="s">
        <v>977</v>
      </c>
      <c r="H97" s="54">
        <f>LEN(G97)</f>
        <v>90</v>
      </c>
      <c r="I97" s="54">
        <v>297</v>
      </c>
    </row>
    <row r="98" spans="1:11" x14ac:dyDescent="0.25">
      <c r="B98" s="2" t="s">
        <v>230</v>
      </c>
      <c r="C98" s="2" t="s">
        <v>884</v>
      </c>
      <c r="D98" s="2" t="s">
        <v>811</v>
      </c>
      <c r="E98" s="2" t="s">
        <v>225</v>
      </c>
      <c r="F98" s="2" t="s">
        <v>450</v>
      </c>
      <c r="G98" s="2" t="s">
        <v>978</v>
      </c>
      <c r="H98" s="54">
        <f>LEN(G98)</f>
        <v>90</v>
      </c>
      <c r="I98" s="54">
        <v>298</v>
      </c>
    </row>
    <row r="99" spans="1:11" x14ac:dyDescent="0.25">
      <c r="B99" s="2" t="s">
        <v>441</v>
      </c>
      <c r="C99" s="2" t="s">
        <v>885</v>
      </c>
      <c r="D99" s="2" t="s">
        <v>811</v>
      </c>
    </row>
    <row r="100" spans="1:11" x14ac:dyDescent="0.25">
      <c r="B100" s="2" t="s">
        <v>442</v>
      </c>
      <c r="C100" s="2" t="s">
        <v>886</v>
      </c>
      <c r="D100" s="2" t="s">
        <v>811</v>
      </c>
    </row>
    <row r="101" spans="1:11" x14ac:dyDescent="0.25">
      <c r="B101" s="2" t="s">
        <v>443</v>
      </c>
      <c r="C101" s="2" t="s">
        <v>887</v>
      </c>
      <c r="D101" s="2" t="s">
        <v>811</v>
      </c>
    </row>
    <row r="102" spans="1:11" x14ac:dyDescent="0.25">
      <c r="B102" s="2" t="s">
        <v>444</v>
      </c>
      <c r="C102" s="2" t="s">
        <v>888</v>
      </c>
      <c r="D102" s="2" t="s">
        <v>811</v>
      </c>
    </row>
    <row r="103" spans="1:11" x14ac:dyDescent="0.25">
      <c r="B103" s="2" t="s">
        <v>445</v>
      </c>
      <c r="C103" s="2" t="s">
        <v>889</v>
      </c>
      <c r="D103" s="2" t="s">
        <v>811</v>
      </c>
    </row>
    <row r="104" spans="1:11" x14ac:dyDescent="0.25">
      <c r="D104" s="2" t="str">
        <f t="shared" si="3"/>
        <v/>
      </c>
      <c r="E104" s="28" t="s">
        <v>59</v>
      </c>
      <c r="F104" s="28" t="s">
        <v>63</v>
      </c>
      <c r="G104" s="28" t="s">
        <v>60</v>
      </c>
      <c r="H104" s="100" t="s">
        <v>1404</v>
      </c>
      <c r="I104" s="100" t="s">
        <v>1405</v>
      </c>
    </row>
    <row r="105" spans="1:11" x14ac:dyDescent="0.25">
      <c r="A105" s="57" t="s">
        <v>1400</v>
      </c>
      <c r="B105" s="2" t="s">
        <v>236</v>
      </c>
      <c r="C105" s="2" t="s">
        <v>890</v>
      </c>
      <c r="D105" s="2" t="s">
        <v>811</v>
      </c>
      <c r="E105" s="2" t="s">
        <v>231</v>
      </c>
      <c r="F105" s="2" t="s">
        <v>246</v>
      </c>
      <c r="G105" s="2" t="s">
        <v>979</v>
      </c>
      <c r="H105" s="54">
        <f t="shared" ref="H105:H109" si="6">LEN(G105)</f>
        <v>95</v>
      </c>
      <c r="I105" s="54">
        <v>315</v>
      </c>
    </row>
    <row r="106" spans="1:11" x14ac:dyDescent="0.25">
      <c r="B106" s="2" t="s">
        <v>237</v>
      </c>
      <c r="C106" s="2" t="s">
        <v>891</v>
      </c>
      <c r="D106" s="2" t="s">
        <v>811</v>
      </c>
      <c r="E106" s="2" t="s">
        <v>232</v>
      </c>
      <c r="F106" s="2" t="s">
        <v>247</v>
      </c>
      <c r="G106" s="2" t="s">
        <v>980</v>
      </c>
      <c r="H106" s="54">
        <f t="shared" si="6"/>
        <v>95</v>
      </c>
      <c r="I106" s="54">
        <v>313</v>
      </c>
    </row>
    <row r="107" spans="1:11" x14ac:dyDescent="0.25">
      <c r="A107" s="140" t="s">
        <v>1401</v>
      </c>
      <c r="B107" s="2" t="s">
        <v>238</v>
      </c>
      <c r="C107" s="1" t="s">
        <v>892</v>
      </c>
      <c r="D107" s="2" t="s">
        <v>811</v>
      </c>
      <c r="E107" s="2" t="s">
        <v>233</v>
      </c>
      <c r="F107" s="2" t="s">
        <v>248</v>
      </c>
      <c r="G107" s="2" t="s">
        <v>981</v>
      </c>
      <c r="H107" s="54">
        <f t="shared" si="6"/>
        <v>95</v>
      </c>
      <c r="I107" s="54">
        <v>315</v>
      </c>
      <c r="K107" s="101"/>
    </row>
    <row r="108" spans="1:11" x14ac:dyDescent="0.25">
      <c r="A108" s="140"/>
      <c r="B108" s="2" t="s">
        <v>239</v>
      </c>
      <c r="C108" s="1" t="s">
        <v>893</v>
      </c>
      <c r="D108" s="2" t="s">
        <v>811</v>
      </c>
      <c r="E108" s="2" t="s">
        <v>234</v>
      </c>
      <c r="F108" s="2" t="s">
        <v>249</v>
      </c>
      <c r="G108" s="2" t="s">
        <v>1052</v>
      </c>
      <c r="H108" s="54">
        <f t="shared" si="6"/>
        <v>95</v>
      </c>
      <c r="I108" s="54">
        <v>314</v>
      </c>
    </row>
    <row r="109" spans="1:11" x14ac:dyDescent="0.25">
      <c r="B109" s="2" t="s">
        <v>240</v>
      </c>
      <c r="C109" s="2" t="s">
        <v>894</v>
      </c>
      <c r="D109" s="2" t="s">
        <v>811</v>
      </c>
      <c r="E109" s="2" t="s">
        <v>235</v>
      </c>
      <c r="F109" s="2" t="s">
        <v>250</v>
      </c>
      <c r="G109" s="2" t="s">
        <v>982</v>
      </c>
      <c r="H109" s="54">
        <f t="shared" si="6"/>
        <v>95</v>
      </c>
      <c r="I109" s="54">
        <v>316</v>
      </c>
    </row>
    <row r="110" spans="1:11" x14ac:dyDescent="0.25">
      <c r="B110" s="2" t="s">
        <v>241</v>
      </c>
      <c r="C110" s="1" t="s">
        <v>895</v>
      </c>
      <c r="D110" s="2" t="s">
        <v>811</v>
      </c>
    </row>
    <row r="111" spans="1:11" x14ac:dyDescent="0.25">
      <c r="B111" s="2" t="s">
        <v>242</v>
      </c>
      <c r="C111" s="2" t="s">
        <v>896</v>
      </c>
      <c r="D111" s="2" t="s">
        <v>811</v>
      </c>
    </row>
    <row r="112" spans="1:11" x14ac:dyDescent="0.25">
      <c r="B112" s="2" t="s">
        <v>243</v>
      </c>
      <c r="C112" s="2" t="s">
        <v>1051</v>
      </c>
      <c r="D112" s="2" t="s">
        <v>811</v>
      </c>
    </row>
    <row r="113" spans="1:11" x14ac:dyDescent="0.25">
      <c r="B113" s="2" t="s">
        <v>244</v>
      </c>
      <c r="C113" s="2" t="s">
        <v>897</v>
      </c>
      <c r="D113" s="2" t="s">
        <v>811</v>
      </c>
    </row>
    <row r="114" spans="1:11" x14ac:dyDescent="0.25">
      <c r="B114" s="2" t="s">
        <v>245</v>
      </c>
      <c r="C114" s="1" t="s">
        <v>898</v>
      </c>
      <c r="D114" s="2" t="s">
        <v>811</v>
      </c>
    </row>
    <row r="115" spans="1:11" x14ac:dyDescent="0.25">
      <c r="D115" s="2" t="str">
        <f t="shared" ref="D115:D170" si="7">SUBSTITUTE(C115," ","")</f>
        <v/>
      </c>
      <c r="E115" s="28" t="s">
        <v>59</v>
      </c>
      <c r="F115" s="28" t="s">
        <v>63</v>
      </c>
      <c r="G115" s="28" t="s">
        <v>60</v>
      </c>
      <c r="H115" s="100" t="s">
        <v>1404</v>
      </c>
      <c r="I115" s="100" t="s">
        <v>1405</v>
      </c>
    </row>
    <row r="116" spans="1:11" x14ac:dyDescent="0.25">
      <c r="A116" s="57" t="s">
        <v>1400</v>
      </c>
      <c r="B116" s="2" t="s">
        <v>256</v>
      </c>
      <c r="C116" s="2" t="s">
        <v>899</v>
      </c>
      <c r="D116" s="2" t="s">
        <v>811</v>
      </c>
      <c r="E116" s="2" t="s">
        <v>251</v>
      </c>
      <c r="F116" s="2" t="s">
        <v>456</v>
      </c>
      <c r="G116" s="2" t="s">
        <v>986</v>
      </c>
      <c r="H116" s="54">
        <f t="shared" ref="H116:H120" si="8">LEN(G116)</f>
        <v>100</v>
      </c>
      <c r="I116" s="54">
        <v>330</v>
      </c>
    </row>
    <row r="117" spans="1:11" x14ac:dyDescent="0.25">
      <c r="B117" s="2" t="s">
        <v>257</v>
      </c>
      <c r="C117" s="2" t="s">
        <v>900</v>
      </c>
      <c r="D117" s="2" t="s">
        <v>811</v>
      </c>
      <c r="E117" s="2" t="s">
        <v>252</v>
      </c>
      <c r="F117" s="2" t="s">
        <v>457</v>
      </c>
      <c r="G117" s="2" t="s">
        <v>1054</v>
      </c>
      <c r="H117" s="54">
        <f t="shared" si="8"/>
        <v>100</v>
      </c>
      <c r="I117" s="54">
        <v>330</v>
      </c>
    </row>
    <row r="118" spans="1:11" x14ac:dyDescent="0.25">
      <c r="A118" s="140" t="s">
        <v>1401</v>
      </c>
      <c r="B118" s="2" t="s">
        <v>258</v>
      </c>
      <c r="C118" s="2" t="s">
        <v>1053</v>
      </c>
      <c r="D118" s="2" t="s">
        <v>811</v>
      </c>
      <c r="E118" s="2" t="s">
        <v>253</v>
      </c>
      <c r="F118" s="2" t="s">
        <v>458</v>
      </c>
      <c r="G118" s="2" t="s">
        <v>1056</v>
      </c>
      <c r="H118" s="54">
        <f t="shared" si="8"/>
        <v>100</v>
      </c>
      <c r="I118" s="54">
        <v>330</v>
      </c>
      <c r="K118" s="101"/>
    </row>
    <row r="119" spans="1:11" x14ac:dyDescent="0.25">
      <c r="A119" s="140"/>
      <c r="B119" s="2" t="s">
        <v>259</v>
      </c>
      <c r="C119" s="2" t="s">
        <v>901</v>
      </c>
      <c r="D119" s="2" t="s">
        <v>811</v>
      </c>
      <c r="E119" s="2" t="s">
        <v>254</v>
      </c>
      <c r="F119" s="2" t="s">
        <v>459</v>
      </c>
      <c r="G119" s="2" t="s">
        <v>987</v>
      </c>
      <c r="H119" s="54">
        <f t="shared" si="8"/>
        <v>100</v>
      </c>
      <c r="I119" s="54">
        <v>332</v>
      </c>
    </row>
    <row r="120" spans="1:11" x14ac:dyDescent="0.25">
      <c r="B120" s="2" t="s">
        <v>260</v>
      </c>
      <c r="C120" s="2" t="s">
        <v>902</v>
      </c>
      <c r="D120" s="2" t="s">
        <v>811</v>
      </c>
      <c r="E120" s="2" t="s">
        <v>255</v>
      </c>
      <c r="F120" s="2" t="s">
        <v>460</v>
      </c>
      <c r="G120" s="2" t="s">
        <v>1058</v>
      </c>
      <c r="H120" s="54">
        <f t="shared" si="8"/>
        <v>100</v>
      </c>
      <c r="I120" s="54">
        <v>332</v>
      </c>
    </row>
    <row r="121" spans="1:11" x14ac:dyDescent="0.25">
      <c r="B121" s="2" t="s">
        <v>451</v>
      </c>
      <c r="C121" s="2" t="s">
        <v>1055</v>
      </c>
      <c r="D121" s="2" t="s">
        <v>811</v>
      </c>
    </row>
    <row r="122" spans="1:11" x14ac:dyDescent="0.25">
      <c r="B122" s="2" t="s">
        <v>452</v>
      </c>
      <c r="C122" s="2" t="s">
        <v>903</v>
      </c>
      <c r="D122" s="2" t="s">
        <v>811</v>
      </c>
    </row>
    <row r="123" spans="1:11" x14ac:dyDescent="0.25">
      <c r="B123" s="2" t="s">
        <v>453</v>
      </c>
      <c r="C123" s="2" t="s">
        <v>904</v>
      </c>
      <c r="D123" s="2" t="s">
        <v>811</v>
      </c>
    </row>
    <row r="124" spans="1:11" x14ac:dyDescent="0.25">
      <c r="B124" s="2" t="s">
        <v>454</v>
      </c>
      <c r="C124" s="2" t="s">
        <v>1057</v>
      </c>
      <c r="D124" s="2" t="s">
        <v>811</v>
      </c>
    </row>
    <row r="125" spans="1:11" x14ac:dyDescent="0.25">
      <c r="B125" s="2" t="s">
        <v>455</v>
      </c>
      <c r="C125" s="2" t="s">
        <v>905</v>
      </c>
      <c r="D125" s="2" t="s">
        <v>811</v>
      </c>
    </row>
    <row r="126" spans="1:11" x14ac:dyDescent="0.25">
      <c r="D126" s="2" t="str">
        <f t="shared" si="7"/>
        <v/>
      </c>
      <c r="E126" s="28" t="s">
        <v>59</v>
      </c>
      <c r="F126" s="28" t="s">
        <v>63</v>
      </c>
      <c r="G126" s="28" t="s">
        <v>60</v>
      </c>
      <c r="H126" s="100" t="s">
        <v>1404</v>
      </c>
      <c r="I126" s="100" t="s">
        <v>1405</v>
      </c>
    </row>
    <row r="127" spans="1:11" x14ac:dyDescent="0.25">
      <c r="A127" s="57" t="s">
        <v>1400</v>
      </c>
      <c r="B127" s="2" t="s">
        <v>266</v>
      </c>
      <c r="C127" s="2" t="s">
        <v>906</v>
      </c>
      <c r="D127" s="2" t="s">
        <v>811</v>
      </c>
      <c r="E127" s="2" t="s">
        <v>261</v>
      </c>
      <c r="F127" s="2" t="s">
        <v>276</v>
      </c>
      <c r="G127" s="2" t="s">
        <v>988</v>
      </c>
      <c r="H127" s="54">
        <f t="shared" ref="H127:H131" si="9">LEN(G127)</f>
        <v>105</v>
      </c>
      <c r="I127" s="54">
        <v>348</v>
      </c>
    </row>
    <row r="128" spans="1:11" x14ac:dyDescent="0.25">
      <c r="B128" s="2" t="s">
        <v>267</v>
      </c>
      <c r="C128" s="2" t="s">
        <v>907</v>
      </c>
      <c r="D128" s="2" t="s">
        <v>811</v>
      </c>
      <c r="E128" s="2" t="s">
        <v>262</v>
      </c>
      <c r="F128" s="2" t="s">
        <v>277</v>
      </c>
      <c r="G128" s="2" t="s">
        <v>989</v>
      </c>
      <c r="H128" s="54">
        <f t="shared" si="9"/>
        <v>105</v>
      </c>
      <c r="I128" s="54">
        <v>348</v>
      </c>
    </row>
    <row r="129" spans="1:9" x14ac:dyDescent="0.25">
      <c r="A129" s="140" t="s">
        <v>1401</v>
      </c>
      <c r="B129" s="2" t="s">
        <v>268</v>
      </c>
      <c r="C129" s="2" t="s">
        <v>908</v>
      </c>
      <c r="D129" s="2" t="s">
        <v>811</v>
      </c>
      <c r="E129" s="2" t="s">
        <v>263</v>
      </c>
      <c r="F129" s="2" t="s">
        <v>278</v>
      </c>
      <c r="G129" s="2" t="s">
        <v>990</v>
      </c>
      <c r="H129" s="54">
        <f t="shared" si="9"/>
        <v>105</v>
      </c>
      <c r="I129" s="54">
        <v>346</v>
      </c>
    </row>
    <row r="130" spans="1:9" x14ac:dyDescent="0.25">
      <c r="A130" s="140"/>
      <c r="B130" s="2" t="s">
        <v>269</v>
      </c>
      <c r="C130" s="2" t="s">
        <v>909</v>
      </c>
      <c r="D130" s="2" t="s">
        <v>811</v>
      </c>
      <c r="E130" s="2" t="s">
        <v>264</v>
      </c>
      <c r="F130" s="2" t="s">
        <v>279</v>
      </c>
      <c r="G130" s="2" t="s">
        <v>991</v>
      </c>
      <c r="H130" s="54">
        <f t="shared" si="9"/>
        <v>105</v>
      </c>
      <c r="I130" s="54">
        <v>347</v>
      </c>
    </row>
    <row r="131" spans="1:9" x14ac:dyDescent="0.25">
      <c r="B131" s="2" t="s">
        <v>270</v>
      </c>
      <c r="C131" s="2" t="s">
        <v>910</v>
      </c>
      <c r="D131" s="2" t="s">
        <v>811</v>
      </c>
      <c r="E131" s="2" t="s">
        <v>265</v>
      </c>
      <c r="F131" s="2" t="s">
        <v>280</v>
      </c>
      <c r="G131" s="2" t="s">
        <v>1060</v>
      </c>
      <c r="H131" s="54">
        <f t="shared" si="9"/>
        <v>105</v>
      </c>
      <c r="I131" s="54">
        <v>346</v>
      </c>
    </row>
    <row r="132" spans="1:9" x14ac:dyDescent="0.25">
      <c r="B132" s="2" t="s">
        <v>271</v>
      </c>
      <c r="C132" s="2" t="s">
        <v>911</v>
      </c>
      <c r="D132" s="2" t="s">
        <v>811</v>
      </c>
    </row>
    <row r="133" spans="1:9" x14ac:dyDescent="0.25">
      <c r="B133" s="2" t="s">
        <v>272</v>
      </c>
      <c r="C133" s="2" t="s">
        <v>912</v>
      </c>
      <c r="D133" s="2" t="s">
        <v>811</v>
      </c>
    </row>
    <row r="134" spans="1:9" x14ac:dyDescent="0.25">
      <c r="B134" s="2" t="s">
        <v>273</v>
      </c>
      <c r="C134" s="2" t="s">
        <v>913</v>
      </c>
      <c r="D134" s="2" t="s">
        <v>811</v>
      </c>
    </row>
    <row r="135" spans="1:9" x14ac:dyDescent="0.25">
      <c r="B135" s="2" t="s">
        <v>274</v>
      </c>
      <c r="C135" s="2" t="s">
        <v>914</v>
      </c>
      <c r="D135" s="2" t="s">
        <v>811</v>
      </c>
    </row>
    <row r="136" spans="1:9" x14ac:dyDescent="0.25">
      <c r="B136" s="2" t="s">
        <v>275</v>
      </c>
      <c r="C136" s="2" t="s">
        <v>1059</v>
      </c>
      <c r="D136" s="2" t="s">
        <v>811</v>
      </c>
    </row>
    <row r="137" spans="1:9" x14ac:dyDescent="0.25">
      <c r="D137" s="2" t="str">
        <f t="shared" si="7"/>
        <v/>
      </c>
      <c r="E137" s="28" t="s">
        <v>59</v>
      </c>
      <c r="F137" s="28" t="s">
        <v>63</v>
      </c>
      <c r="G137" s="28" t="s">
        <v>60</v>
      </c>
      <c r="H137" s="100" t="s">
        <v>1404</v>
      </c>
      <c r="I137" s="100" t="s">
        <v>1405</v>
      </c>
    </row>
    <row r="138" spans="1:9" x14ac:dyDescent="0.25">
      <c r="A138" s="57" t="s">
        <v>1400</v>
      </c>
      <c r="B138" s="2" t="s">
        <v>286</v>
      </c>
      <c r="C138" s="2" t="s">
        <v>915</v>
      </c>
      <c r="D138" s="2" t="s">
        <v>811</v>
      </c>
      <c r="E138" s="2" t="s">
        <v>281</v>
      </c>
      <c r="F138" s="2" t="s">
        <v>466</v>
      </c>
      <c r="G138" s="2" t="s">
        <v>992</v>
      </c>
      <c r="H138" s="54">
        <f t="shared" ref="H138:H142" si="10">LEN(G138)</f>
        <v>110</v>
      </c>
      <c r="I138" s="54">
        <v>365</v>
      </c>
    </row>
    <row r="139" spans="1:9" x14ac:dyDescent="0.25">
      <c r="B139" s="2" t="s">
        <v>287</v>
      </c>
      <c r="C139" s="2" t="s">
        <v>916</v>
      </c>
      <c r="D139" s="2" t="s">
        <v>811</v>
      </c>
      <c r="E139" s="2" t="s">
        <v>282</v>
      </c>
      <c r="F139" s="2" t="s">
        <v>467</v>
      </c>
      <c r="G139" s="2" t="s">
        <v>993</v>
      </c>
      <c r="H139" s="54">
        <f t="shared" si="10"/>
        <v>110</v>
      </c>
      <c r="I139" s="54">
        <v>364</v>
      </c>
    </row>
    <row r="140" spans="1:9" x14ac:dyDescent="0.25">
      <c r="A140" s="140" t="s">
        <v>1401</v>
      </c>
      <c r="B140" s="2" t="s">
        <v>288</v>
      </c>
      <c r="C140" s="2" t="s">
        <v>917</v>
      </c>
      <c r="D140" s="2" t="s">
        <v>811</v>
      </c>
      <c r="E140" s="2" t="s">
        <v>283</v>
      </c>
      <c r="F140" s="2" t="s">
        <v>468</v>
      </c>
      <c r="G140" s="2" t="s">
        <v>994</v>
      </c>
      <c r="H140" s="54">
        <f t="shared" si="10"/>
        <v>110</v>
      </c>
      <c r="I140" s="54">
        <v>364</v>
      </c>
    </row>
    <row r="141" spans="1:9" x14ac:dyDescent="0.25">
      <c r="A141" s="140"/>
      <c r="B141" s="2" t="s">
        <v>289</v>
      </c>
      <c r="C141" s="2" t="s">
        <v>918</v>
      </c>
      <c r="D141" s="2" t="s">
        <v>811</v>
      </c>
      <c r="E141" s="2" t="s">
        <v>284</v>
      </c>
      <c r="F141" s="2" t="s">
        <v>469</v>
      </c>
      <c r="G141" s="2" t="s">
        <v>995</v>
      </c>
      <c r="H141" s="54">
        <f t="shared" si="10"/>
        <v>110</v>
      </c>
      <c r="I141" s="54">
        <v>365</v>
      </c>
    </row>
    <row r="142" spans="1:9" x14ac:dyDescent="0.25">
      <c r="B142" s="2" t="s">
        <v>290</v>
      </c>
      <c r="C142" s="2" t="s">
        <v>919</v>
      </c>
      <c r="D142" s="2" t="s">
        <v>811</v>
      </c>
      <c r="E142" s="2" t="s">
        <v>285</v>
      </c>
      <c r="F142" s="2" t="s">
        <v>470</v>
      </c>
      <c r="G142" s="2" t="s">
        <v>996</v>
      </c>
      <c r="H142" s="54">
        <f t="shared" si="10"/>
        <v>110</v>
      </c>
      <c r="I142" s="54">
        <v>365</v>
      </c>
    </row>
    <row r="143" spans="1:9" x14ac:dyDescent="0.25">
      <c r="B143" s="2" t="s">
        <v>461</v>
      </c>
      <c r="C143" s="2" t="s">
        <v>920</v>
      </c>
      <c r="D143" s="2" t="s">
        <v>811</v>
      </c>
    </row>
    <row r="144" spans="1:9" x14ac:dyDescent="0.25">
      <c r="B144" s="2" t="s">
        <v>462</v>
      </c>
      <c r="C144" s="2" t="s">
        <v>921</v>
      </c>
      <c r="D144" s="2" t="s">
        <v>811</v>
      </c>
    </row>
    <row r="145" spans="1:9" x14ac:dyDescent="0.25">
      <c r="B145" s="2" t="s">
        <v>463</v>
      </c>
      <c r="C145" s="2" t="s">
        <v>922</v>
      </c>
      <c r="D145" s="2" t="s">
        <v>811</v>
      </c>
    </row>
    <row r="146" spans="1:9" x14ac:dyDescent="0.25">
      <c r="B146" s="2" t="s">
        <v>464</v>
      </c>
      <c r="C146" s="2" t="s">
        <v>923</v>
      </c>
      <c r="D146" s="2" t="s">
        <v>811</v>
      </c>
    </row>
    <row r="147" spans="1:9" x14ac:dyDescent="0.25">
      <c r="B147" s="2" t="s">
        <v>465</v>
      </c>
      <c r="C147" s="2" t="s">
        <v>924</v>
      </c>
      <c r="D147" s="2" t="s">
        <v>811</v>
      </c>
    </row>
    <row r="148" spans="1:9" x14ac:dyDescent="0.25">
      <c r="D148" s="2" t="str">
        <f t="shared" si="7"/>
        <v/>
      </c>
      <c r="E148" s="28" t="s">
        <v>59</v>
      </c>
      <c r="F148" s="28" t="s">
        <v>63</v>
      </c>
      <c r="G148" s="28" t="s">
        <v>60</v>
      </c>
      <c r="H148" s="100" t="s">
        <v>1404</v>
      </c>
      <c r="I148" s="100" t="s">
        <v>1405</v>
      </c>
    </row>
    <row r="149" spans="1:9" x14ac:dyDescent="0.25">
      <c r="A149" s="57" t="s">
        <v>1400</v>
      </c>
      <c r="B149" s="2" t="s">
        <v>296</v>
      </c>
      <c r="C149" s="2" t="s">
        <v>925</v>
      </c>
      <c r="D149" s="2" t="s">
        <v>811</v>
      </c>
      <c r="E149" s="2" t="s">
        <v>291</v>
      </c>
      <c r="F149" s="2" t="s">
        <v>306</v>
      </c>
      <c r="G149" s="2" t="s">
        <v>997</v>
      </c>
      <c r="H149" s="54">
        <f t="shared" ref="H149:H153" si="11">LEN(G149)</f>
        <v>115</v>
      </c>
      <c r="I149" s="54">
        <v>381</v>
      </c>
    </row>
    <row r="150" spans="1:9" x14ac:dyDescent="0.25">
      <c r="B150" s="2" t="s">
        <v>297</v>
      </c>
      <c r="C150" s="2" t="s">
        <v>926</v>
      </c>
      <c r="D150" s="2" t="s">
        <v>811</v>
      </c>
      <c r="E150" s="2" t="s">
        <v>292</v>
      </c>
      <c r="F150" s="2" t="s">
        <v>307</v>
      </c>
      <c r="G150" s="2" t="s">
        <v>998</v>
      </c>
      <c r="H150" s="54">
        <f t="shared" si="11"/>
        <v>115</v>
      </c>
      <c r="I150" s="54">
        <v>382</v>
      </c>
    </row>
    <row r="151" spans="1:9" x14ac:dyDescent="0.25">
      <c r="A151" s="140" t="s">
        <v>1401</v>
      </c>
      <c r="B151" s="2" t="s">
        <v>298</v>
      </c>
      <c r="C151" s="2" t="s">
        <v>927</v>
      </c>
      <c r="D151" s="2" t="s">
        <v>811</v>
      </c>
      <c r="E151" s="2" t="s">
        <v>293</v>
      </c>
      <c r="F151" s="2" t="s">
        <v>308</v>
      </c>
      <c r="G151" s="2" t="s">
        <v>999</v>
      </c>
      <c r="H151" s="54">
        <f t="shared" si="11"/>
        <v>115</v>
      </c>
      <c r="I151" s="54">
        <v>380</v>
      </c>
    </row>
    <row r="152" spans="1:9" x14ac:dyDescent="0.25">
      <c r="A152" s="140"/>
      <c r="B152" s="2" t="s">
        <v>299</v>
      </c>
      <c r="C152" s="2" t="s">
        <v>928</v>
      </c>
      <c r="D152" s="2" t="s">
        <v>811</v>
      </c>
      <c r="E152" s="2" t="s">
        <v>294</v>
      </c>
      <c r="F152" s="2" t="s">
        <v>309</v>
      </c>
      <c r="G152" s="2" t="s">
        <v>1000</v>
      </c>
      <c r="H152" s="54">
        <f t="shared" si="11"/>
        <v>115</v>
      </c>
      <c r="I152" s="54">
        <v>381</v>
      </c>
    </row>
    <row r="153" spans="1:9" x14ac:dyDescent="0.25">
      <c r="B153" s="2" t="s">
        <v>300</v>
      </c>
      <c r="C153" s="2" t="s">
        <v>929</v>
      </c>
      <c r="D153" s="2" t="s">
        <v>811</v>
      </c>
      <c r="E153" s="2" t="s">
        <v>295</v>
      </c>
      <c r="F153" s="2" t="s">
        <v>310</v>
      </c>
      <c r="G153" s="2" t="s">
        <v>1001</v>
      </c>
      <c r="H153" s="54">
        <f t="shared" si="11"/>
        <v>115</v>
      </c>
      <c r="I153" s="54">
        <v>381</v>
      </c>
    </row>
    <row r="154" spans="1:9" x14ac:dyDescent="0.25">
      <c r="B154" s="2" t="s">
        <v>301</v>
      </c>
      <c r="C154" s="2" t="s">
        <v>930</v>
      </c>
      <c r="D154" s="2" t="s">
        <v>811</v>
      </c>
    </row>
    <row r="155" spans="1:9" x14ac:dyDescent="0.25">
      <c r="B155" s="2" t="s">
        <v>302</v>
      </c>
      <c r="C155" s="2" t="s">
        <v>931</v>
      </c>
      <c r="D155" s="2" t="s">
        <v>811</v>
      </c>
    </row>
    <row r="156" spans="1:9" x14ac:dyDescent="0.25">
      <c r="B156" s="2" t="s">
        <v>303</v>
      </c>
      <c r="C156" s="2" t="s">
        <v>932</v>
      </c>
      <c r="D156" s="2" t="s">
        <v>811</v>
      </c>
    </row>
    <row r="157" spans="1:9" x14ac:dyDescent="0.25">
      <c r="B157" s="2" t="s">
        <v>304</v>
      </c>
      <c r="C157" s="2" t="s">
        <v>933</v>
      </c>
      <c r="D157" s="2" t="s">
        <v>811</v>
      </c>
    </row>
    <row r="158" spans="1:9" x14ac:dyDescent="0.25">
      <c r="B158" s="2" t="s">
        <v>305</v>
      </c>
      <c r="C158" s="2" t="s">
        <v>926</v>
      </c>
      <c r="D158" s="2" t="s">
        <v>811</v>
      </c>
    </row>
    <row r="159" spans="1:9" x14ac:dyDescent="0.25">
      <c r="D159" s="2" t="str">
        <f t="shared" si="7"/>
        <v/>
      </c>
      <c r="E159" s="28" t="s">
        <v>59</v>
      </c>
      <c r="F159" s="28" t="s">
        <v>63</v>
      </c>
      <c r="G159" s="28" t="s">
        <v>60</v>
      </c>
      <c r="H159" s="100" t="s">
        <v>1404</v>
      </c>
      <c r="I159" s="100" t="s">
        <v>1405</v>
      </c>
    </row>
    <row r="160" spans="1:9" x14ac:dyDescent="0.25">
      <c r="A160" s="57" t="s">
        <v>1400</v>
      </c>
      <c r="B160" s="2" t="s">
        <v>316</v>
      </c>
      <c r="C160" s="2" t="s">
        <v>934</v>
      </c>
      <c r="D160" s="2" t="s">
        <v>811</v>
      </c>
      <c r="E160" s="2" t="s">
        <v>311</v>
      </c>
      <c r="F160" s="2" t="s">
        <v>476</v>
      </c>
      <c r="G160" s="2" t="s">
        <v>1002</v>
      </c>
      <c r="H160" s="54">
        <f t="shared" ref="H160:H164" si="12">LEN(G160)</f>
        <v>120</v>
      </c>
      <c r="I160" s="54">
        <v>398</v>
      </c>
    </row>
    <row r="161" spans="1:9" x14ac:dyDescent="0.25">
      <c r="B161" s="2" t="s">
        <v>317</v>
      </c>
      <c r="C161" s="2" t="s">
        <v>935</v>
      </c>
      <c r="D161" s="2" t="s">
        <v>811</v>
      </c>
      <c r="E161" s="2" t="s">
        <v>312</v>
      </c>
      <c r="F161" s="2" t="s">
        <v>477</v>
      </c>
      <c r="G161" s="2" t="s">
        <v>1003</v>
      </c>
      <c r="H161" s="54">
        <f t="shared" si="12"/>
        <v>120</v>
      </c>
      <c r="I161" s="54">
        <v>398</v>
      </c>
    </row>
    <row r="162" spans="1:9" x14ac:dyDescent="0.25">
      <c r="A162" s="140" t="s">
        <v>1401</v>
      </c>
      <c r="B162" s="2" t="s">
        <v>318</v>
      </c>
      <c r="C162" s="2" t="s">
        <v>936</v>
      </c>
      <c r="D162" s="2" t="s">
        <v>811</v>
      </c>
      <c r="E162" s="2" t="s">
        <v>313</v>
      </c>
      <c r="F162" s="2" t="s">
        <v>478</v>
      </c>
      <c r="G162" s="2" t="s">
        <v>1062</v>
      </c>
      <c r="H162" s="54">
        <f t="shared" si="12"/>
        <v>120</v>
      </c>
      <c r="I162" s="54">
        <v>397</v>
      </c>
    </row>
    <row r="163" spans="1:9" x14ac:dyDescent="0.25">
      <c r="A163" s="140"/>
      <c r="B163" s="2" t="s">
        <v>319</v>
      </c>
      <c r="C163" s="2" t="s">
        <v>937</v>
      </c>
      <c r="D163" s="2" t="s">
        <v>811</v>
      </c>
      <c r="E163" s="2" t="s">
        <v>314</v>
      </c>
      <c r="F163" s="2" t="s">
        <v>479</v>
      </c>
      <c r="G163" s="2" t="s">
        <v>1004</v>
      </c>
      <c r="H163" s="54">
        <f t="shared" si="12"/>
        <v>120</v>
      </c>
      <c r="I163" s="54">
        <v>397</v>
      </c>
    </row>
    <row r="164" spans="1:9" x14ac:dyDescent="0.25">
      <c r="B164" s="2" t="s">
        <v>320</v>
      </c>
      <c r="C164" s="2" t="s">
        <v>938</v>
      </c>
      <c r="D164" s="2" t="s">
        <v>811</v>
      </c>
      <c r="E164" s="2" t="s">
        <v>315</v>
      </c>
      <c r="F164" s="2" t="s">
        <v>480</v>
      </c>
      <c r="G164" s="2" t="s">
        <v>1005</v>
      </c>
      <c r="H164" s="54">
        <f t="shared" si="12"/>
        <v>120</v>
      </c>
      <c r="I164" s="54">
        <v>397</v>
      </c>
    </row>
    <row r="165" spans="1:9" x14ac:dyDescent="0.25">
      <c r="B165" s="2" t="s">
        <v>471</v>
      </c>
      <c r="C165" s="2" t="s">
        <v>1061</v>
      </c>
      <c r="D165" s="2" t="s">
        <v>811</v>
      </c>
    </row>
    <row r="166" spans="1:9" x14ac:dyDescent="0.25">
      <c r="B166" s="2" t="s">
        <v>472</v>
      </c>
      <c r="C166" s="2" t="s">
        <v>939</v>
      </c>
      <c r="D166" s="2" t="s">
        <v>811</v>
      </c>
    </row>
    <row r="167" spans="1:9" x14ac:dyDescent="0.25">
      <c r="B167" s="2" t="s">
        <v>473</v>
      </c>
      <c r="C167" s="2" t="s">
        <v>940</v>
      </c>
      <c r="D167" s="2" t="s">
        <v>811</v>
      </c>
    </row>
    <row r="168" spans="1:9" x14ac:dyDescent="0.25">
      <c r="B168" s="2" t="s">
        <v>474</v>
      </c>
      <c r="C168" s="2" t="s">
        <v>941</v>
      </c>
      <c r="D168" s="2" t="s">
        <v>811</v>
      </c>
    </row>
    <row r="169" spans="1:9" x14ac:dyDescent="0.25">
      <c r="B169" s="2" t="s">
        <v>475</v>
      </c>
      <c r="C169" s="2" t="s">
        <v>942</v>
      </c>
      <c r="D169" s="2" t="s">
        <v>811</v>
      </c>
    </row>
    <row r="170" spans="1:9" x14ac:dyDescent="0.25">
      <c r="D170" s="2" t="str">
        <f t="shared" si="7"/>
        <v/>
      </c>
      <c r="E170" s="28" t="s">
        <v>59</v>
      </c>
      <c r="F170" s="28" t="s">
        <v>63</v>
      </c>
      <c r="G170" s="28" t="s">
        <v>60</v>
      </c>
      <c r="H170" s="100" t="s">
        <v>1404</v>
      </c>
      <c r="I170" s="100" t="s">
        <v>1405</v>
      </c>
    </row>
    <row r="171" spans="1:9" x14ac:dyDescent="0.25">
      <c r="A171" s="57" t="s">
        <v>1400</v>
      </c>
      <c r="B171" s="2" t="s">
        <v>326</v>
      </c>
      <c r="C171" s="2" t="s">
        <v>943</v>
      </c>
      <c r="D171" s="2" t="s">
        <v>811</v>
      </c>
      <c r="E171" s="2" t="s">
        <v>321</v>
      </c>
      <c r="F171" s="2" t="s">
        <v>336</v>
      </c>
      <c r="G171" s="2" t="s">
        <v>1006</v>
      </c>
      <c r="H171" s="54">
        <f t="shared" ref="H171:H175" si="13">LEN(G171)</f>
        <v>125</v>
      </c>
      <c r="I171" s="54">
        <v>414</v>
      </c>
    </row>
    <row r="172" spans="1:9" x14ac:dyDescent="0.25">
      <c r="B172" s="2" t="s">
        <v>327</v>
      </c>
      <c r="C172" s="2" t="s">
        <v>944</v>
      </c>
      <c r="D172" s="2" t="s">
        <v>811</v>
      </c>
      <c r="E172" s="2" t="s">
        <v>322</v>
      </c>
      <c r="F172" s="2" t="s">
        <v>337</v>
      </c>
      <c r="G172" s="2" t="s">
        <v>1007</v>
      </c>
      <c r="H172" s="54">
        <f t="shared" si="13"/>
        <v>125</v>
      </c>
      <c r="I172" s="54">
        <v>413</v>
      </c>
    </row>
    <row r="173" spans="1:9" x14ac:dyDescent="0.25">
      <c r="A173" s="140" t="s">
        <v>1401</v>
      </c>
      <c r="B173" s="2" t="s">
        <v>328</v>
      </c>
      <c r="C173" s="2" t="s">
        <v>945</v>
      </c>
      <c r="D173" s="2" t="s">
        <v>811</v>
      </c>
      <c r="E173" s="2" t="s">
        <v>323</v>
      </c>
      <c r="F173" s="2" t="s">
        <v>338</v>
      </c>
      <c r="G173" s="2" t="s">
        <v>1008</v>
      </c>
      <c r="H173" s="54">
        <f t="shared" si="13"/>
        <v>125</v>
      </c>
      <c r="I173" s="54">
        <v>414</v>
      </c>
    </row>
    <row r="174" spans="1:9" x14ac:dyDescent="0.25">
      <c r="A174" s="140"/>
      <c r="B174" s="2" t="s">
        <v>329</v>
      </c>
      <c r="C174" s="2" t="s">
        <v>946</v>
      </c>
      <c r="D174" s="2" t="s">
        <v>811</v>
      </c>
      <c r="E174" s="2" t="s">
        <v>324</v>
      </c>
      <c r="F174" s="2" t="s">
        <v>339</v>
      </c>
      <c r="G174" s="2" t="s">
        <v>1009</v>
      </c>
      <c r="H174" s="54">
        <f t="shared" si="13"/>
        <v>125</v>
      </c>
      <c r="I174" s="54">
        <v>413</v>
      </c>
    </row>
    <row r="175" spans="1:9" x14ac:dyDescent="0.25">
      <c r="B175" s="2" t="s">
        <v>330</v>
      </c>
      <c r="C175" s="2" t="s">
        <v>947</v>
      </c>
      <c r="D175" s="2" t="s">
        <v>811</v>
      </c>
      <c r="E175" s="2" t="s">
        <v>325</v>
      </c>
      <c r="F175" s="2" t="s">
        <v>340</v>
      </c>
      <c r="G175" s="2" t="s">
        <v>1010</v>
      </c>
      <c r="H175" s="54">
        <f t="shared" si="13"/>
        <v>125</v>
      </c>
      <c r="I175" s="54">
        <v>414</v>
      </c>
    </row>
    <row r="176" spans="1:9" x14ac:dyDescent="0.25">
      <c r="B176" s="2" t="s">
        <v>331</v>
      </c>
      <c r="C176" s="2" t="s">
        <v>948</v>
      </c>
      <c r="D176" s="2" t="s">
        <v>811</v>
      </c>
    </row>
    <row r="177" spans="1:9" x14ac:dyDescent="0.25">
      <c r="B177" s="2" t="s">
        <v>332</v>
      </c>
      <c r="C177" s="2" t="s">
        <v>949</v>
      </c>
      <c r="D177" s="2" t="s">
        <v>811</v>
      </c>
    </row>
    <row r="178" spans="1:9" x14ac:dyDescent="0.25">
      <c r="B178" s="2" t="s">
        <v>333</v>
      </c>
      <c r="C178" s="2" t="s">
        <v>950</v>
      </c>
      <c r="D178" s="2" t="s">
        <v>811</v>
      </c>
    </row>
    <row r="179" spans="1:9" x14ac:dyDescent="0.25">
      <c r="B179" s="2" t="s">
        <v>334</v>
      </c>
      <c r="C179" s="2" t="s">
        <v>951</v>
      </c>
      <c r="D179" s="2" t="s">
        <v>811</v>
      </c>
    </row>
    <row r="180" spans="1:9" x14ac:dyDescent="0.25">
      <c r="B180" s="2" t="s">
        <v>335</v>
      </c>
      <c r="C180" s="2" t="s">
        <v>952</v>
      </c>
      <c r="D180" s="2" t="s">
        <v>811</v>
      </c>
    </row>
    <row r="181" spans="1:9" x14ac:dyDescent="0.25">
      <c r="D181" s="2" t="str">
        <f t="shared" ref="D181:D236" si="14">SUBSTITUTE(C181," ","")</f>
        <v/>
      </c>
      <c r="E181" s="28" t="s">
        <v>59</v>
      </c>
      <c r="F181" s="28" t="s">
        <v>63</v>
      </c>
      <c r="G181" s="28" t="s">
        <v>60</v>
      </c>
      <c r="H181" s="100" t="s">
        <v>1404</v>
      </c>
      <c r="I181" s="100" t="s">
        <v>1405</v>
      </c>
    </row>
    <row r="182" spans="1:9" x14ac:dyDescent="0.25">
      <c r="A182" s="57" t="s">
        <v>1400</v>
      </c>
      <c r="B182" s="2" t="s">
        <v>346</v>
      </c>
      <c r="C182" s="2" t="s">
        <v>953</v>
      </c>
      <c r="D182" s="2" t="s">
        <v>811</v>
      </c>
      <c r="E182" s="2" t="s">
        <v>341</v>
      </c>
      <c r="F182" s="2" t="s">
        <v>486</v>
      </c>
      <c r="G182" s="2" t="s">
        <v>1011</v>
      </c>
      <c r="H182" s="54">
        <f t="shared" ref="H182:H186" si="15">LEN(G182)</f>
        <v>130</v>
      </c>
      <c r="I182" s="54">
        <v>430</v>
      </c>
    </row>
    <row r="183" spans="1:9" x14ac:dyDescent="0.25">
      <c r="B183" s="2" t="s">
        <v>347</v>
      </c>
      <c r="C183" s="2" t="s">
        <v>954</v>
      </c>
      <c r="D183" s="2" t="s">
        <v>811</v>
      </c>
      <c r="E183" s="2" t="s">
        <v>342</v>
      </c>
      <c r="F183" s="2" t="s">
        <v>487</v>
      </c>
      <c r="G183" s="2" t="s">
        <v>1012</v>
      </c>
      <c r="H183" s="54">
        <f t="shared" si="15"/>
        <v>130</v>
      </c>
      <c r="I183" s="54">
        <v>430</v>
      </c>
    </row>
    <row r="184" spans="1:9" ht="14.45" customHeight="1" x14ac:dyDescent="0.25">
      <c r="A184" s="140" t="s">
        <v>1401</v>
      </c>
      <c r="B184" s="2" t="s">
        <v>348</v>
      </c>
      <c r="C184" s="2" t="s">
        <v>955</v>
      </c>
      <c r="D184" s="2" t="s">
        <v>811</v>
      </c>
      <c r="E184" s="2" t="s">
        <v>343</v>
      </c>
      <c r="F184" s="2" t="s">
        <v>488</v>
      </c>
      <c r="G184" s="2" t="s">
        <v>1066</v>
      </c>
      <c r="H184" s="54">
        <f t="shared" si="15"/>
        <v>130</v>
      </c>
      <c r="I184" s="54">
        <v>429</v>
      </c>
    </row>
    <row r="185" spans="1:9" x14ac:dyDescent="0.25">
      <c r="A185" s="140"/>
      <c r="B185" s="2" t="s">
        <v>349</v>
      </c>
      <c r="C185" s="2" t="s">
        <v>956</v>
      </c>
      <c r="D185" s="2" t="s">
        <v>811</v>
      </c>
      <c r="E185" s="2" t="s">
        <v>344</v>
      </c>
      <c r="F185" s="2" t="s">
        <v>489</v>
      </c>
      <c r="G185" s="2" t="s">
        <v>1013</v>
      </c>
      <c r="H185" s="54">
        <f t="shared" si="15"/>
        <v>130</v>
      </c>
      <c r="I185" s="54">
        <v>430</v>
      </c>
    </row>
    <row r="186" spans="1:9" x14ac:dyDescent="0.25">
      <c r="B186" s="2" t="s">
        <v>350</v>
      </c>
      <c r="C186" s="2" t="s">
        <v>1065</v>
      </c>
      <c r="D186" s="2" t="s">
        <v>811</v>
      </c>
      <c r="E186" s="2" t="s">
        <v>345</v>
      </c>
      <c r="F186" s="2" t="s">
        <v>490</v>
      </c>
      <c r="G186" s="2" t="s">
        <v>1064</v>
      </c>
      <c r="H186" s="54">
        <f t="shared" si="15"/>
        <v>130</v>
      </c>
      <c r="I186" s="54">
        <v>431</v>
      </c>
    </row>
    <row r="187" spans="1:9" x14ac:dyDescent="0.25">
      <c r="B187" s="2" t="s">
        <v>481</v>
      </c>
      <c r="C187" s="2" t="s">
        <v>957</v>
      </c>
      <c r="D187" s="2" t="s">
        <v>811</v>
      </c>
    </row>
    <row r="188" spans="1:9" x14ac:dyDescent="0.25">
      <c r="B188" s="2" t="s">
        <v>482</v>
      </c>
      <c r="C188" s="2" t="s">
        <v>958</v>
      </c>
      <c r="D188" s="2" t="s">
        <v>811</v>
      </c>
    </row>
    <row r="189" spans="1:9" x14ac:dyDescent="0.25">
      <c r="B189" s="2" t="s">
        <v>483</v>
      </c>
      <c r="C189" s="2" t="s">
        <v>959</v>
      </c>
      <c r="D189" s="2" t="s">
        <v>811</v>
      </c>
    </row>
    <row r="190" spans="1:9" x14ac:dyDescent="0.25">
      <c r="B190" s="2" t="s">
        <v>484</v>
      </c>
      <c r="C190" s="2" t="s">
        <v>1063</v>
      </c>
      <c r="D190" s="2" t="s">
        <v>811</v>
      </c>
    </row>
    <row r="191" spans="1:9" x14ac:dyDescent="0.25">
      <c r="B191" s="2" t="s">
        <v>485</v>
      </c>
      <c r="C191" s="2" t="s">
        <v>960</v>
      </c>
      <c r="D191" s="2" t="s">
        <v>811</v>
      </c>
    </row>
    <row r="192" spans="1:9" x14ac:dyDescent="0.25">
      <c r="D192" s="2" t="str">
        <f t="shared" si="14"/>
        <v/>
      </c>
      <c r="E192" s="28" t="s">
        <v>59</v>
      </c>
      <c r="F192" s="28" t="s">
        <v>63</v>
      </c>
      <c r="G192" s="28" t="s">
        <v>60</v>
      </c>
      <c r="H192" s="100" t="s">
        <v>1404</v>
      </c>
      <c r="I192" s="100" t="s">
        <v>1405</v>
      </c>
    </row>
    <row r="193" spans="1:9" x14ac:dyDescent="0.25">
      <c r="A193" s="57" t="s">
        <v>1400</v>
      </c>
      <c r="B193" s="2" t="s">
        <v>356</v>
      </c>
      <c r="C193" s="2" t="s">
        <v>983</v>
      </c>
      <c r="D193" s="2" t="s">
        <v>811</v>
      </c>
      <c r="E193" s="2" t="s">
        <v>351</v>
      </c>
      <c r="F193" s="2" t="s">
        <v>366</v>
      </c>
      <c r="G193" s="2" t="s">
        <v>985</v>
      </c>
      <c r="H193" s="54">
        <f>LEN(G193)</f>
        <v>135</v>
      </c>
      <c r="I193" s="54">
        <v>447</v>
      </c>
    </row>
    <row r="194" spans="1:9" x14ac:dyDescent="0.25">
      <c r="B194" s="2" t="s">
        <v>357</v>
      </c>
      <c r="C194" s="2" t="s">
        <v>984</v>
      </c>
      <c r="D194" s="2" t="s">
        <v>811</v>
      </c>
      <c r="E194" s="2" t="s">
        <v>352</v>
      </c>
      <c r="F194" s="2" t="s">
        <v>367</v>
      </c>
      <c r="G194" s="2" t="s">
        <v>1022</v>
      </c>
      <c r="H194" s="54">
        <f t="shared" ref="H194:H197" si="16">LEN(G194)</f>
        <v>135</v>
      </c>
      <c r="I194" s="54">
        <v>446</v>
      </c>
    </row>
    <row r="195" spans="1:9" x14ac:dyDescent="0.25">
      <c r="A195" s="140" t="s">
        <v>1401</v>
      </c>
      <c r="B195" s="2" t="s">
        <v>358</v>
      </c>
      <c r="C195" s="2" t="s">
        <v>1014</v>
      </c>
      <c r="D195" s="2" t="s">
        <v>811</v>
      </c>
      <c r="E195" s="2" t="s">
        <v>353</v>
      </c>
      <c r="F195" s="2" t="s">
        <v>368</v>
      </c>
      <c r="G195" s="2" t="s">
        <v>1023</v>
      </c>
      <c r="H195" s="54">
        <f t="shared" si="16"/>
        <v>135</v>
      </c>
      <c r="I195" s="54">
        <v>449</v>
      </c>
    </row>
    <row r="196" spans="1:9" x14ac:dyDescent="0.25">
      <c r="A196" s="140"/>
      <c r="B196" s="2" t="s">
        <v>359</v>
      </c>
      <c r="C196" s="2" t="s">
        <v>1015</v>
      </c>
      <c r="D196" s="2" t="s">
        <v>811</v>
      </c>
      <c r="E196" s="2" t="s">
        <v>354</v>
      </c>
      <c r="F196" s="2" t="s">
        <v>369</v>
      </c>
      <c r="G196" s="2" t="s">
        <v>1024</v>
      </c>
      <c r="H196" s="54">
        <f t="shared" si="16"/>
        <v>135</v>
      </c>
      <c r="I196" s="54">
        <v>447</v>
      </c>
    </row>
    <row r="197" spans="1:9" x14ac:dyDescent="0.25">
      <c r="B197" s="2" t="s">
        <v>360</v>
      </c>
      <c r="C197" s="2" t="s">
        <v>1016</v>
      </c>
      <c r="D197" s="2" t="s">
        <v>811</v>
      </c>
      <c r="E197" s="2" t="s">
        <v>355</v>
      </c>
      <c r="F197" s="2" t="s">
        <v>370</v>
      </c>
      <c r="G197" s="2" t="s">
        <v>1025</v>
      </c>
      <c r="H197" s="54">
        <f t="shared" si="16"/>
        <v>135</v>
      </c>
      <c r="I197" s="54">
        <v>447</v>
      </c>
    </row>
    <row r="198" spans="1:9" x14ac:dyDescent="0.25">
      <c r="B198" s="2" t="s">
        <v>361</v>
      </c>
      <c r="C198" s="2" t="s">
        <v>1017</v>
      </c>
      <c r="D198" s="2" t="s">
        <v>811</v>
      </c>
    </row>
    <row r="199" spans="1:9" x14ac:dyDescent="0.25">
      <c r="B199" s="2" t="s">
        <v>362</v>
      </c>
      <c r="C199" s="2" t="s">
        <v>1018</v>
      </c>
      <c r="D199" s="2" t="s">
        <v>811</v>
      </c>
    </row>
    <row r="200" spans="1:9" x14ac:dyDescent="0.25">
      <c r="B200" s="2" t="s">
        <v>363</v>
      </c>
      <c r="C200" s="2" t="s">
        <v>1019</v>
      </c>
      <c r="D200" s="2" t="s">
        <v>811</v>
      </c>
    </row>
    <row r="201" spans="1:9" x14ac:dyDescent="0.25">
      <c r="B201" s="2" t="s">
        <v>364</v>
      </c>
      <c r="C201" s="2" t="s">
        <v>1020</v>
      </c>
      <c r="D201" s="2" t="s">
        <v>811</v>
      </c>
    </row>
    <row r="202" spans="1:9" x14ac:dyDescent="0.25">
      <c r="B202" s="2" t="s">
        <v>365</v>
      </c>
      <c r="C202" s="2" t="s">
        <v>1021</v>
      </c>
      <c r="D202" s="2" t="s">
        <v>811</v>
      </c>
    </row>
    <row r="203" spans="1:9" x14ac:dyDescent="0.25">
      <c r="D203" s="2" t="str">
        <f t="shared" si="14"/>
        <v/>
      </c>
      <c r="E203" s="28" t="s">
        <v>59</v>
      </c>
      <c r="F203" s="28" t="s">
        <v>63</v>
      </c>
      <c r="G203" s="28" t="s">
        <v>60</v>
      </c>
      <c r="H203" s="100" t="s">
        <v>1404</v>
      </c>
      <c r="I203" s="100" t="s">
        <v>1405</v>
      </c>
    </row>
    <row r="204" spans="1:9" x14ac:dyDescent="0.25">
      <c r="A204" s="57" t="s">
        <v>1400</v>
      </c>
      <c r="B204" s="2" t="s">
        <v>376</v>
      </c>
      <c r="C204" s="2" t="s">
        <v>961</v>
      </c>
      <c r="D204" s="2" t="s">
        <v>811</v>
      </c>
      <c r="E204" s="2" t="s">
        <v>371</v>
      </c>
      <c r="F204" s="2" t="s">
        <v>496</v>
      </c>
      <c r="G204" s="2" t="s">
        <v>1026</v>
      </c>
      <c r="H204" s="54">
        <f t="shared" ref="H204:H208" si="17">LEN(G204)</f>
        <v>140</v>
      </c>
      <c r="I204" s="54">
        <v>463</v>
      </c>
    </row>
    <row r="205" spans="1:9" x14ac:dyDescent="0.25">
      <c r="B205" s="2" t="s">
        <v>377</v>
      </c>
      <c r="C205" s="2" t="s">
        <v>962</v>
      </c>
      <c r="D205" s="2" t="s">
        <v>811</v>
      </c>
      <c r="E205" s="2" t="s">
        <v>372</v>
      </c>
      <c r="F205" s="2" t="s">
        <v>497</v>
      </c>
      <c r="G205" s="2" t="s">
        <v>1070</v>
      </c>
      <c r="H205" s="54">
        <f t="shared" si="17"/>
        <v>140</v>
      </c>
      <c r="I205" s="54">
        <v>463</v>
      </c>
    </row>
    <row r="206" spans="1:9" x14ac:dyDescent="0.25">
      <c r="A206" s="140" t="s">
        <v>1401</v>
      </c>
      <c r="B206" s="2" t="s">
        <v>378</v>
      </c>
      <c r="C206" s="2" t="s">
        <v>963</v>
      </c>
      <c r="D206" s="2" t="s">
        <v>811</v>
      </c>
      <c r="E206" s="2" t="s">
        <v>373</v>
      </c>
      <c r="F206" s="2" t="s">
        <v>498</v>
      </c>
      <c r="G206" s="2" t="s">
        <v>1027</v>
      </c>
      <c r="H206" s="54">
        <f t="shared" si="17"/>
        <v>140</v>
      </c>
      <c r="I206" s="54">
        <v>463</v>
      </c>
    </row>
    <row r="207" spans="1:9" x14ac:dyDescent="0.25">
      <c r="A207" s="140"/>
      <c r="B207" s="2" t="s">
        <v>379</v>
      </c>
      <c r="C207" s="2" t="s">
        <v>1069</v>
      </c>
      <c r="D207" s="2" t="s">
        <v>811</v>
      </c>
      <c r="E207" s="2" t="s">
        <v>374</v>
      </c>
      <c r="F207" s="2" t="s">
        <v>499</v>
      </c>
      <c r="G207" s="2" t="s">
        <v>1068</v>
      </c>
      <c r="H207" s="54">
        <f t="shared" si="17"/>
        <v>140</v>
      </c>
      <c r="I207" s="54">
        <v>463</v>
      </c>
    </row>
    <row r="208" spans="1:9" x14ac:dyDescent="0.25">
      <c r="B208" s="2" t="s">
        <v>380</v>
      </c>
      <c r="C208" s="2" t="s">
        <v>964</v>
      </c>
      <c r="D208" s="2" t="s">
        <v>811</v>
      </c>
      <c r="E208" s="2" t="s">
        <v>375</v>
      </c>
      <c r="F208" s="2" t="s">
        <v>500</v>
      </c>
      <c r="G208" s="2" t="s">
        <v>1028</v>
      </c>
      <c r="H208" s="54">
        <f t="shared" si="17"/>
        <v>140</v>
      </c>
      <c r="I208" s="54">
        <v>463</v>
      </c>
    </row>
    <row r="209" spans="1:9" x14ac:dyDescent="0.25">
      <c r="B209" s="2" t="s">
        <v>491</v>
      </c>
      <c r="C209" s="2" t="s">
        <v>965</v>
      </c>
      <c r="D209" s="2" t="s">
        <v>811</v>
      </c>
    </row>
    <row r="210" spans="1:9" x14ac:dyDescent="0.25">
      <c r="B210" s="2" t="s">
        <v>492</v>
      </c>
      <c r="C210" s="2" t="s">
        <v>966</v>
      </c>
      <c r="D210" s="2" t="s">
        <v>811</v>
      </c>
    </row>
    <row r="211" spans="1:9" x14ac:dyDescent="0.25">
      <c r="B211" s="2" t="s">
        <v>493</v>
      </c>
      <c r="C211" s="2" t="s">
        <v>1067</v>
      </c>
      <c r="D211" s="2" t="s">
        <v>811</v>
      </c>
    </row>
    <row r="212" spans="1:9" x14ac:dyDescent="0.25">
      <c r="B212" s="2" t="s">
        <v>494</v>
      </c>
      <c r="C212" s="2" t="s">
        <v>967</v>
      </c>
      <c r="D212" s="2" t="s">
        <v>811</v>
      </c>
    </row>
    <row r="213" spans="1:9" x14ac:dyDescent="0.25">
      <c r="B213" s="2" t="s">
        <v>495</v>
      </c>
      <c r="C213" s="2" t="s">
        <v>968</v>
      </c>
      <c r="D213" s="2" t="s">
        <v>811</v>
      </c>
    </row>
    <row r="214" spans="1:9" x14ac:dyDescent="0.25">
      <c r="D214" s="2" t="str">
        <f t="shared" si="14"/>
        <v/>
      </c>
      <c r="E214" s="28" t="s">
        <v>59</v>
      </c>
      <c r="F214" s="28" t="s">
        <v>63</v>
      </c>
      <c r="G214" s="28" t="s">
        <v>60</v>
      </c>
      <c r="H214" s="100" t="s">
        <v>1404</v>
      </c>
      <c r="I214" s="100" t="s">
        <v>1405</v>
      </c>
    </row>
    <row r="215" spans="1:9" x14ac:dyDescent="0.25">
      <c r="A215" s="57" t="s">
        <v>1400</v>
      </c>
      <c r="B215" s="2" t="s">
        <v>386</v>
      </c>
      <c r="C215" s="2" t="s">
        <v>1073</v>
      </c>
      <c r="D215" s="2" t="s">
        <v>811</v>
      </c>
      <c r="E215" s="2" t="s">
        <v>381</v>
      </c>
      <c r="F215" s="2" t="s">
        <v>396</v>
      </c>
      <c r="G215" s="2" t="s">
        <v>1076</v>
      </c>
      <c r="H215" s="54">
        <f t="shared" ref="H215:H219" si="18">LEN(G215)</f>
        <v>145</v>
      </c>
      <c r="I215" s="54">
        <v>480</v>
      </c>
    </row>
    <row r="216" spans="1:9" x14ac:dyDescent="0.25">
      <c r="B216" s="2" t="s">
        <v>387</v>
      </c>
      <c r="C216" s="2" t="s">
        <v>1071</v>
      </c>
      <c r="D216" s="2" t="s">
        <v>811</v>
      </c>
      <c r="E216" s="2" t="s">
        <v>382</v>
      </c>
      <c r="F216" s="2" t="s">
        <v>397</v>
      </c>
      <c r="G216" s="2" t="s">
        <v>1077</v>
      </c>
      <c r="H216" s="54">
        <f t="shared" si="18"/>
        <v>145</v>
      </c>
      <c r="I216" s="54">
        <v>480</v>
      </c>
    </row>
    <row r="217" spans="1:9" x14ac:dyDescent="0.25">
      <c r="A217" s="140" t="s">
        <v>1401</v>
      </c>
      <c r="B217" s="2" t="s">
        <v>388</v>
      </c>
      <c r="C217" s="2" t="s">
        <v>1074</v>
      </c>
      <c r="D217" s="2" t="s">
        <v>811</v>
      </c>
      <c r="E217" s="2" t="s">
        <v>383</v>
      </c>
      <c r="F217" s="2" t="s">
        <v>398</v>
      </c>
      <c r="G217" s="2" t="s">
        <v>1083</v>
      </c>
      <c r="H217" s="54">
        <f t="shared" si="18"/>
        <v>145</v>
      </c>
      <c r="I217" s="54">
        <v>481</v>
      </c>
    </row>
    <row r="218" spans="1:9" x14ac:dyDescent="0.25">
      <c r="A218" s="140"/>
      <c r="B218" s="2" t="s">
        <v>389</v>
      </c>
      <c r="C218" s="1" t="s">
        <v>1072</v>
      </c>
      <c r="D218" s="2" t="s">
        <v>811</v>
      </c>
      <c r="E218" s="2" t="s">
        <v>384</v>
      </c>
      <c r="F218" s="2" t="s">
        <v>399</v>
      </c>
      <c r="G218" s="2" t="s">
        <v>1084</v>
      </c>
      <c r="H218" s="54">
        <f t="shared" si="18"/>
        <v>145</v>
      </c>
      <c r="I218" s="54">
        <v>481</v>
      </c>
    </row>
    <row r="219" spans="1:9" x14ac:dyDescent="0.25">
      <c r="B219" s="2" t="s">
        <v>390</v>
      </c>
      <c r="C219" s="2" t="s">
        <v>1075</v>
      </c>
      <c r="D219" s="2" t="s">
        <v>811</v>
      </c>
      <c r="E219" s="2" t="s">
        <v>385</v>
      </c>
      <c r="F219" s="2" t="s">
        <v>400</v>
      </c>
      <c r="G219" s="2" t="s">
        <v>1086</v>
      </c>
      <c r="H219" s="54">
        <f t="shared" si="18"/>
        <v>145</v>
      </c>
      <c r="I219" s="54">
        <v>480</v>
      </c>
    </row>
    <row r="220" spans="1:9" x14ac:dyDescent="0.25">
      <c r="B220" s="2" t="s">
        <v>391</v>
      </c>
      <c r="C220" s="1" t="s">
        <v>1079</v>
      </c>
      <c r="D220" s="2" t="s">
        <v>811</v>
      </c>
    </row>
    <row r="221" spans="1:9" x14ac:dyDescent="0.25">
      <c r="B221" s="2" t="s">
        <v>392</v>
      </c>
      <c r="C221" s="2" t="s">
        <v>1081</v>
      </c>
      <c r="D221" s="2" t="s">
        <v>811</v>
      </c>
    </row>
    <row r="222" spans="1:9" x14ac:dyDescent="0.25">
      <c r="B222" s="2" t="s">
        <v>393</v>
      </c>
      <c r="C222" s="1" t="s">
        <v>1080</v>
      </c>
      <c r="D222" s="2" t="s">
        <v>811</v>
      </c>
    </row>
    <row r="223" spans="1:9" x14ac:dyDescent="0.25">
      <c r="B223" s="2" t="s">
        <v>394</v>
      </c>
      <c r="C223" s="2" t="s">
        <v>1082</v>
      </c>
      <c r="D223" s="2" t="s">
        <v>811</v>
      </c>
    </row>
    <row r="224" spans="1:9" x14ac:dyDescent="0.25">
      <c r="B224" s="2" t="s">
        <v>395</v>
      </c>
      <c r="C224" s="1" t="s">
        <v>1085</v>
      </c>
      <c r="D224" s="2" t="s">
        <v>811</v>
      </c>
    </row>
    <row r="225" spans="1:9" x14ac:dyDescent="0.25">
      <c r="C225" s="2"/>
      <c r="D225" s="2" t="str">
        <f t="shared" si="14"/>
        <v/>
      </c>
      <c r="E225" s="28" t="s">
        <v>59</v>
      </c>
      <c r="F225" s="28" t="s">
        <v>63</v>
      </c>
      <c r="G225" s="28" t="s">
        <v>60</v>
      </c>
      <c r="H225" s="100" t="s">
        <v>1404</v>
      </c>
      <c r="I225" s="100" t="s">
        <v>1405</v>
      </c>
    </row>
    <row r="226" spans="1:9" x14ac:dyDescent="0.25">
      <c r="A226" s="57" t="s">
        <v>1400</v>
      </c>
      <c r="B226" s="2" t="s">
        <v>406</v>
      </c>
      <c r="C226" s="1" t="s">
        <v>1078</v>
      </c>
      <c r="D226" s="2" t="s">
        <v>811</v>
      </c>
      <c r="E226" s="2" t="s">
        <v>401</v>
      </c>
      <c r="F226" s="2" t="s">
        <v>506</v>
      </c>
      <c r="G226" s="2" t="s">
        <v>1096</v>
      </c>
      <c r="H226" s="54">
        <f>LEN(G226)</f>
        <v>150</v>
      </c>
      <c r="I226" s="54">
        <v>497</v>
      </c>
    </row>
    <row r="227" spans="1:9" x14ac:dyDescent="0.25">
      <c r="B227" s="2" t="s">
        <v>407</v>
      </c>
      <c r="C227" s="1" t="s">
        <v>1087</v>
      </c>
      <c r="D227" s="2" t="s">
        <v>811</v>
      </c>
      <c r="E227" s="2" t="s">
        <v>402</v>
      </c>
      <c r="F227" s="2" t="s">
        <v>507</v>
      </c>
      <c r="G227" s="2" t="s">
        <v>1097</v>
      </c>
      <c r="H227" s="54">
        <f>LEN(G227)</f>
        <v>150</v>
      </c>
      <c r="I227" s="54">
        <v>496</v>
      </c>
    </row>
    <row r="228" spans="1:9" x14ac:dyDescent="0.25">
      <c r="A228" s="140" t="s">
        <v>1401</v>
      </c>
      <c r="B228" s="2" t="s">
        <v>408</v>
      </c>
      <c r="C228" s="1" t="s">
        <v>1088</v>
      </c>
      <c r="D228" s="2" t="s">
        <v>811</v>
      </c>
      <c r="E228" s="2" t="s">
        <v>403</v>
      </c>
      <c r="F228" s="2" t="s">
        <v>508</v>
      </c>
      <c r="G228" s="2" t="s">
        <v>1098</v>
      </c>
      <c r="H228" s="54">
        <f>LEN(G228)</f>
        <v>150</v>
      </c>
      <c r="I228" s="54">
        <v>497</v>
      </c>
    </row>
    <row r="229" spans="1:9" x14ac:dyDescent="0.25">
      <c r="A229" s="140"/>
      <c r="B229" s="2" t="s">
        <v>409</v>
      </c>
      <c r="C229" s="1" t="s">
        <v>1089</v>
      </c>
      <c r="D229" s="2" t="s">
        <v>811</v>
      </c>
      <c r="E229" s="2" t="s">
        <v>404</v>
      </c>
      <c r="F229" s="2" t="s">
        <v>509</v>
      </c>
      <c r="G229" s="2" t="s">
        <v>1099</v>
      </c>
      <c r="H229" s="54">
        <f>LEN(G229)</f>
        <v>150</v>
      </c>
      <c r="I229" s="54">
        <v>498</v>
      </c>
    </row>
    <row r="230" spans="1:9" x14ac:dyDescent="0.25">
      <c r="B230" s="2" t="s">
        <v>410</v>
      </c>
      <c r="C230" s="1" t="s">
        <v>1090</v>
      </c>
      <c r="D230" s="2" t="s">
        <v>811</v>
      </c>
      <c r="E230" s="2" t="s">
        <v>405</v>
      </c>
      <c r="F230" s="2" t="s">
        <v>510</v>
      </c>
      <c r="G230" s="2" t="s">
        <v>1100</v>
      </c>
      <c r="H230" s="54">
        <f>LEN(G230)</f>
        <v>150</v>
      </c>
      <c r="I230" s="54">
        <v>496</v>
      </c>
    </row>
    <row r="231" spans="1:9" x14ac:dyDescent="0.25">
      <c r="B231" s="2" t="s">
        <v>501</v>
      </c>
      <c r="C231" s="1" t="s">
        <v>1091</v>
      </c>
      <c r="D231" s="2" t="s">
        <v>811</v>
      </c>
    </row>
    <row r="232" spans="1:9" x14ac:dyDescent="0.25">
      <c r="B232" s="2" t="s">
        <v>502</v>
      </c>
      <c r="C232" s="1" t="s">
        <v>1092</v>
      </c>
      <c r="D232" s="2" t="s">
        <v>811</v>
      </c>
    </row>
    <row r="233" spans="1:9" x14ac:dyDescent="0.25">
      <c r="B233" s="2" t="s">
        <v>503</v>
      </c>
      <c r="C233" s="1" t="s">
        <v>1093</v>
      </c>
      <c r="D233" s="2" t="s">
        <v>811</v>
      </c>
    </row>
    <row r="234" spans="1:9" x14ac:dyDescent="0.25">
      <c r="B234" s="2" t="s">
        <v>504</v>
      </c>
      <c r="C234" s="1" t="s">
        <v>1094</v>
      </c>
      <c r="D234" s="2" t="s">
        <v>811</v>
      </c>
    </row>
    <row r="235" spans="1:9" x14ac:dyDescent="0.25">
      <c r="B235" s="2" t="s">
        <v>505</v>
      </c>
      <c r="C235" s="1" t="s">
        <v>1095</v>
      </c>
      <c r="D235" s="2" t="s">
        <v>811</v>
      </c>
    </row>
    <row r="236" spans="1:9" x14ac:dyDescent="0.25">
      <c r="D236" s="2" t="str">
        <f t="shared" si="14"/>
        <v/>
      </c>
      <c r="E236" s="28" t="s">
        <v>59</v>
      </c>
      <c r="F236" s="28" t="s">
        <v>63</v>
      </c>
      <c r="G236" s="28" t="s">
        <v>60</v>
      </c>
      <c r="H236" s="100" t="s">
        <v>1404</v>
      </c>
      <c r="I236" s="100" t="s">
        <v>1405</v>
      </c>
    </row>
    <row r="237" spans="1:9" x14ac:dyDescent="0.25">
      <c r="A237" s="57" t="s">
        <v>1400</v>
      </c>
      <c r="B237" s="2" t="s">
        <v>416</v>
      </c>
      <c r="C237" s="1" t="s">
        <v>1110</v>
      </c>
      <c r="D237" s="2" t="s">
        <v>811</v>
      </c>
      <c r="E237" s="2" t="s">
        <v>411</v>
      </c>
      <c r="F237" s="2" t="s">
        <v>426</v>
      </c>
      <c r="G237" s="2" t="s">
        <v>1111</v>
      </c>
      <c r="H237" s="54">
        <f>LEN(G237)</f>
        <v>155</v>
      </c>
      <c r="I237" s="54">
        <v>514</v>
      </c>
    </row>
    <row r="238" spans="1:9" x14ac:dyDescent="0.25">
      <c r="B238" s="2" t="s">
        <v>417</v>
      </c>
      <c r="C238" s="1" t="s">
        <v>1106</v>
      </c>
      <c r="D238" s="2" t="s">
        <v>811</v>
      </c>
      <c r="E238" s="2" t="s">
        <v>412</v>
      </c>
      <c r="F238" s="2" t="s">
        <v>427</v>
      </c>
      <c r="G238" s="2" t="s">
        <v>1112</v>
      </c>
      <c r="H238" s="54">
        <f t="shared" ref="H238:H240" si="19">LEN(G238)</f>
        <v>155</v>
      </c>
      <c r="I238" s="54">
        <v>514</v>
      </c>
    </row>
    <row r="239" spans="1:9" x14ac:dyDescent="0.25">
      <c r="A239" s="140" t="s">
        <v>1401</v>
      </c>
      <c r="B239" s="2" t="s">
        <v>418</v>
      </c>
      <c r="C239" s="1" t="s">
        <v>1101</v>
      </c>
      <c r="D239" s="2" t="s">
        <v>811</v>
      </c>
      <c r="E239" s="2" t="s">
        <v>413</v>
      </c>
      <c r="F239" s="2" t="s">
        <v>428</v>
      </c>
      <c r="G239" s="2" t="s">
        <v>1113</v>
      </c>
      <c r="H239" s="54">
        <f t="shared" si="19"/>
        <v>155</v>
      </c>
      <c r="I239" s="54">
        <v>512</v>
      </c>
    </row>
    <row r="240" spans="1:9" x14ac:dyDescent="0.25">
      <c r="A240" s="140"/>
      <c r="B240" s="2" t="s">
        <v>419</v>
      </c>
      <c r="C240" s="1" t="s">
        <v>1107</v>
      </c>
      <c r="D240" s="2" t="s">
        <v>811</v>
      </c>
      <c r="E240" s="2" t="s">
        <v>414</v>
      </c>
      <c r="F240" s="2" t="s">
        <v>429</v>
      </c>
      <c r="G240" s="2" t="s">
        <v>1114</v>
      </c>
      <c r="H240" s="54">
        <f t="shared" si="19"/>
        <v>155</v>
      </c>
      <c r="I240" s="54">
        <v>514</v>
      </c>
    </row>
    <row r="241" spans="1:9" x14ac:dyDescent="0.25">
      <c r="B241" s="2" t="s">
        <v>420</v>
      </c>
      <c r="C241" s="1" t="s">
        <v>1102</v>
      </c>
      <c r="D241" s="2" t="s">
        <v>811</v>
      </c>
      <c r="E241" s="2" t="s">
        <v>415</v>
      </c>
      <c r="F241" s="2" t="s">
        <v>430</v>
      </c>
      <c r="G241" s="2" t="s">
        <v>1115</v>
      </c>
      <c r="H241" s="54">
        <f>LEN(G241)</f>
        <v>155</v>
      </c>
      <c r="I241" s="54">
        <v>513</v>
      </c>
    </row>
    <row r="242" spans="1:9" x14ac:dyDescent="0.25">
      <c r="B242" s="2" t="s">
        <v>421</v>
      </c>
      <c r="C242" s="1" t="s">
        <v>1108</v>
      </c>
      <c r="D242" s="2" t="s">
        <v>811</v>
      </c>
    </row>
    <row r="243" spans="1:9" x14ac:dyDescent="0.25">
      <c r="B243" s="2" t="s">
        <v>422</v>
      </c>
      <c r="C243" s="1" t="s">
        <v>1103</v>
      </c>
      <c r="D243" s="2" t="s">
        <v>811</v>
      </c>
    </row>
    <row r="244" spans="1:9" x14ac:dyDescent="0.25">
      <c r="B244" s="2" t="s">
        <v>423</v>
      </c>
      <c r="C244" s="1" t="s">
        <v>1109</v>
      </c>
      <c r="D244" s="2" t="s">
        <v>811</v>
      </c>
    </row>
    <row r="245" spans="1:9" x14ac:dyDescent="0.25">
      <c r="B245" s="2" t="s">
        <v>424</v>
      </c>
      <c r="C245" s="1" t="s">
        <v>1104</v>
      </c>
      <c r="D245" s="2" t="s">
        <v>811</v>
      </c>
    </row>
    <row r="246" spans="1:9" x14ac:dyDescent="0.25">
      <c r="B246" s="2" t="s">
        <v>425</v>
      </c>
      <c r="C246" s="1" t="s">
        <v>1105</v>
      </c>
      <c r="D246" s="2" t="s">
        <v>811</v>
      </c>
    </row>
    <row r="247" spans="1:9" x14ac:dyDescent="0.25">
      <c r="D247" s="2" t="str">
        <f t="shared" ref="D247:D302" si="20">SUBSTITUTE(C247," ","")</f>
        <v/>
      </c>
      <c r="E247" s="28" t="s">
        <v>59</v>
      </c>
      <c r="F247" s="28" t="s">
        <v>63</v>
      </c>
      <c r="G247" s="28" t="s">
        <v>60</v>
      </c>
      <c r="H247" s="100" t="s">
        <v>1404</v>
      </c>
      <c r="I247" s="100" t="s">
        <v>1405</v>
      </c>
    </row>
    <row r="248" spans="1:9" x14ac:dyDescent="0.25">
      <c r="A248" s="57" t="s">
        <v>1400</v>
      </c>
      <c r="B248" s="2" t="s">
        <v>436</v>
      </c>
      <c r="C248" s="1" t="s">
        <v>1116</v>
      </c>
      <c r="D248" s="2" t="s">
        <v>811</v>
      </c>
      <c r="E248" s="2" t="s">
        <v>431</v>
      </c>
      <c r="F248" s="2" t="s">
        <v>517</v>
      </c>
      <c r="G248" s="2" t="s">
        <v>1342</v>
      </c>
      <c r="H248" s="54">
        <f t="shared" ref="H248:H252" si="21">LEN(G248)</f>
        <v>160</v>
      </c>
      <c r="I248" s="54">
        <v>532</v>
      </c>
    </row>
    <row r="249" spans="1:9" x14ac:dyDescent="0.25">
      <c r="B249" s="2" t="s">
        <v>437</v>
      </c>
      <c r="C249" s="1" t="s">
        <v>1117</v>
      </c>
      <c r="D249" s="2" t="s">
        <v>811</v>
      </c>
      <c r="E249" s="2" t="s">
        <v>432</v>
      </c>
      <c r="F249" s="2" t="s">
        <v>518</v>
      </c>
      <c r="G249" s="2" t="s">
        <v>1343</v>
      </c>
      <c r="H249" s="54">
        <f t="shared" si="21"/>
        <v>160</v>
      </c>
      <c r="I249" s="54">
        <v>531</v>
      </c>
    </row>
    <row r="250" spans="1:9" x14ac:dyDescent="0.25">
      <c r="A250" s="140" t="s">
        <v>1401</v>
      </c>
      <c r="B250" s="2" t="s">
        <v>438</v>
      </c>
      <c r="C250" s="1" t="s">
        <v>1118</v>
      </c>
      <c r="D250" s="2" t="s">
        <v>811</v>
      </c>
      <c r="E250" s="2" t="s">
        <v>433</v>
      </c>
      <c r="F250" s="2" t="s">
        <v>519</v>
      </c>
      <c r="G250" s="2" t="s">
        <v>1344</v>
      </c>
      <c r="H250" s="54">
        <f t="shared" si="21"/>
        <v>160</v>
      </c>
      <c r="I250" s="54">
        <v>530</v>
      </c>
    </row>
    <row r="251" spans="1:9" x14ac:dyDescent="0.25">
      <c r="A251" s="140"/>
      <c r="B251" s="2" t="s">
        <v>439</v>
      </c>
      <c r="C251" s="1" t="s">
        <v>1119</v>
      </c>
      <c r="D251" s="2" t="s">
        <v>811</v>
      </c>
      <c r="E251" s="2" t="s">
        <v>434</v>
      </c>
      <c r="F251" s="2" t="s">
        <v>520</v>
      </c>
      <c r="G251" s="2" t="s">
        <v>1345</v>
      </c>
      <c r="H251" s="54">
        <f t="shared" si="21"/>
        <v>160</v>
      </c>
      <c r="I251" s="54">
        <v>530</v>
      </c>
    </row>
    <row r="252" spans="1:9" x14ac:dyDescent="0.25">
      <c r="B252" s="2" t="s">
        <v>440</v>
      </c>
      <c r="C252" s="1" t="s">
        <v>1120</v>
      </c>
      <c r="D252" s="2" t="s">
        <v>811</v>
      </c>
      <c r="E252" s="2" t="s">
        <v>435</v>
      </c>
      <c r="F252" s="2" t="s">
        <v>516</v>
      </c>
      <c r="G252" s="2" t="s">
        <v>1346</v>
      </c>
      <c r="H252" s="54">
        <f t="shared" si="21"/>
        <v>160</v>
      </c>
      <c r="I252" s="54">
        <v>531</v>
      </c>
    </row>
    <row r="253" spans="1:9" x14ac:dyDescent="0.25">
      <c r="B253" s="2" t="s">
        <v>511</v>
      </c>
      <c r="C253" s="1" t="s">
        <v>1121</v>
      </c>
      <c r="D253" s="2" t="s">
        <v>811</v>
      </c>
    </row>
    <row r="254" spans="1:9" x14ac:dyDescent="0.25">
      <c r="B254" s="2" t="s">
        <v>512</v>
      </c>
      <c r="C254" s="1" t="s">
        <v>1122</v>
      </c>
      <c r="D254" s="2" t="s">
        <v>811</v>
      </c>
    </row>
    <row r="255" spans="1:9" x14ac:dyDescent="0.25">
      <c r="B255" s="2" t="s">
        <v>513</v>
      </c>
      <c r="C255" s="1" t="s">
        <v>1123</v>
      </c>
      <c r="D255" s="2" t="s">
        <v>811</v>
      </c>
    </row>
    <row r="256" spans="1:9" x14ac:dyDescent="0.25">
      <c r="B256" s="2" t="s">
        <v>514</v>
      </c>
      <c r="C256" s="1" t="s">
        <v>1124</v>
      </c>
      <c r="D256" s="2" t="s">
        <v>811</v>
      </c>
    </row>
    <row r="257" spans="1:9" x14ac:dyDescent="0.25">
      <c r="B257" s="2" t="s">
        <v>515</v>
      </c>
      <c r="C257" s="1" t="s">
        <v>1125</v>
      </c>
      <c r="D257" s="2" t="s">
        <v>811</v>
      </c>
    </row>
    <row r="258" spans="1:9" x14ac:dyDescent="0.25">
      <c r="D258" s="2" t="str">
        <f t="shared" si="20"/>
        <v/>
      </c>
      <c r="E258" s="28" t="s">
        <v>59</v>
      </c>
      <c r="F258" s="28" t="s">
        <v>63</v>
      </c>
      <c r="G258" s="28" t="s">
        <v>60</v>
      </c>
      <c r="H258" s="100" t="s">
        <v>1404</v>
      </c>
      <c r="I258" s="100" t="s">
        <v>1405</v>
      </c>
    </row>
    <row r="259" spans="1:9" x14ac:dyDescent="0.25">
      <c r="A259" s="57" t="s">
        <v>1400</v>
      </c>
      <c r="B259" s="2" t="s">
        <v>526</v>
      </c>
      <c r="C259" s="1" t="s">
        <v>1228</v>
      </c>
      <c r="D259" s="2" t="s">
        <v>811</v>
      </c>
      <c r="E259" s="2" t="s">
        <v>521</v>
      </c>
      <c r="F259" s="2" t="s">
        <v>536</v>
      </c>
      <c r="G259" s="2" t="s">
        <v>1349</v>
      </c>
      <c r="H259" s="54">
        <f t="shared" ref="H259:H263" si="22">LEN(G259)</f>
        <v>165</v>
      </c>
      <c r="I259" s="54">
        <v>548</v>
      </c>
    </row>
    <row r="260" spans="1:9" x14ac:dyDescent="0.25">
      <c r="B260" s="2" t="s">
        <v>527</v>
      </c>
      <c r="C260" s="1" t="s">
        <v>1348</v>
      </c>
      <c r="D260" s="2" t="s">
        <v>811</v>
      </c>
      <c r="E260" s="2" t="s">
        <v>522</v>
      </c>
      <c r="F260" s="2" t="s">
        <v>537</v>
      </c>
      <c r="G260" s="2" t="s">
        <v>1354</v>
      </c>
      <c r="H260" s="54">
        <f t="shared" si="22"/>
        <v>165</v>
      </c>
      <c r="I260" s="54">
        <v>548</v>
      </c>
    </row>
    <row r="261" spans="1:9" x14ac:dyDescent="0.25">
      <c r="A261" s="140" t="s">
        <v>1401</v>
      </c>
      <c r="B261" s="2" t="s">
        <v>528</v>
      </c>
      <c r="C261" s="1" t="s">
        <v>1352</v>
      </c>
      <c r="D261" s="2" t="s">
        <v>811</v>
      </c>
      <c r="E261" s="2" t="s">
        <v>523</v>
      </c>
      <c r="F261" s="2" t="s">
        <v>538</v>
      </c>
      <c r="G261" s="2" t="s">
        <v>1355</v>
      </c>
      <c r="H261" s="54">
        <f t="shared" si="22"/>
        <v>165</v>
      </c>
      <c r="I261" s="54">
        <v>548</v>
      </c>
    </row>
    <row r="262" spans="1:9" x14ac:dyDescent="0.25">
      <c r="A262" s="140"/>
      <c r="B262" s="2" t="s">
        <v>529</v>
      </c>
      <c r="C262" s="1" t="s">
        <v>1229</v>
      </c>
      <c r="D262" s="2" t="s">
        <v>811</v>
      </c>
      <c r="E262" s="2" t="s">
        <v>524</v>
      </c>
      <c r="F262" s="2" t="s">
        <v>539</v>
      </c>
      <c r="G262" s="2" t="s">
        <v>1347</v>
      </c>
      <c r="H262" s="54">
        <f t="shared" si="22"/>
        <v>165</v>
      </c>
      <c r="I262" s="54">
        <v>545</v>
      </c>
    </row>
    <row r="263" spans="1:9" x14ac:dyDescent="0.25">
      <c r="B263" s="2" t="s">
        <v>530</v>
      </c>
      <c r="C263" s="1" t="s">
        <v>1353</v>
      </c>
      <c r="D263" s="2" t="s">
        <v>811</v>
      </c>
      <c r="E263" s="2" t="s">
        <v>525</v>
      </c>
      <c r="F263" s="2" t="s">
        <v>540</v>
      </c>
      <c r="G263" s="2" t="s">
        <v>1351</v>
      </c>
      <c r="H263" s="54">
        <f t="shared" si="22"/>
        <v>165</v>
      </c>
      <c r="I263" s="54">
        <v>548</v>
      </c>
    </row>
    <row r="264" spans="1:9" x14ac:dyDescent="0.25">
      <c r="B264" s="2" t="s">
        <v>531</v>
      </c>
      <c r="C264" s="1" t="s">
        <v>1230</v>
      </c>
      <c r="D264" s="2" t="s">
        <v>811</v>
      </c>
    </row>
    <row r="265" spans="1:9" x14ac:dyDescent="0.25">
      <c r="B265" s="2" t="s">
        <v>532</v>
      </c>
      <c r="C265" s="1" t="s">
        <v>1232</v>
      </c>
      <c r="D265" s="2" t="s">
        <v>811</v>
      </c>
    </row>
    <row r="266" spans="1:9" x14ac:dyDescent="0.25">
      <c r="B266" s="2" t="s">
        <v>533</v>
      </c>
      <c r="C266" s="1" t="s">
        <v>1231</v>
      </c>
      <c r="D266" s="2" t="s">
        <v>811</v>
      </c>
    </row>
    <row r="267" spans="1:9" x14ac:dyDescent="0.25">
      <c r="B267" s="2" t="s">
        <v>534</v>
      </c>
      <c r="C267" s="1" t="s">
        <v>1233</v>
      </c>
      <c r="D267" s="2" t="s">
        <v>811</v>
      </c>
    </row>
    <row r="268" spans="1:9" x14ac:dyDescent="0.25">
      <c r="B268" s="2" t="s">
        <v>535</v>
      </c>
      <c r="C268" s="1" t="s">
        <v>1350</v>
      </c>
      <c r="D268" s="2" t="s">
        <v>811</v>
      </c>
    </row>
    <row r="269" spans="1:9" x14ac:dyDescent="0.25">
      <c r="D269" s="2" t="str">
        <f t="shared" si="20"/>
        <v/>
      </c>
      <c r="E269" s="28" t="s">
        <v>59</v>
      </c>
      <c r="F269" s="28" t="s">
        <v>63</v>
      </c>
      <c r="G269" s="28" t="s">
        <v>60</v>
      </c>
      <c r="H269" s="100" t="s">
        <v>1404</v>
      </c>
      <c r="I269" s="100" t="s">
        <v>1405</v>
      </c>
    </row>
    <row r="270" spans="1:9" x14ac:dyDescent="0.25">
      <c r="A270" s="57" t="s">
        <v>1400</v>
      </c>
      <c r="B270" s="2" t="s">
        <v>546</v>
      </c>
      <c r="C270" s="1" t="s">
        <v>1126</v>
      </c>
      <c r="D270" s="2" t="s">
        <v>811</v>
      </c>
      <c r="E270" s="2" t="s">
        <v>541</v>
      </c>
      <c r="F270" s="2" t="s">
        <v>556</v>
      </c>
      <c r="G270" s="2" t="s">
        <v>1135</v>
      </c>
      <c r="H270" s="54">
        <f>LEN(G270)</f>
        <v>170</v>
      </c>
      <c r="I270" s="54">
        <v>563</v>
      </c>
    </row>
    <row r="271" spans="1:9" x14ac:dyDescent="0.25">
      <c r="B271" s="2" t="s">
        <v>547</v>
      </c>
      <c r="C271" s="1" t="s">
        <v>1127</v>
      </c>
      <c r="D271" s="2" t="s">
        <v>811</v>
      </c>
      <c r="E271" s="2" t="s">
        <v>542</v>
      </c>
      <c r="F271" s="2" t="s">
        <v>557</v>
      </c>
      <c r="G271" s="2" t="s">
        <v>1136</v>
      </c>
      <c r="H271" s="54">
        <f>LEN(G271)</f>
        <v>170</v>
      </c>
      <c r="I271" s="54">
        <v>564</v>
      </c>
    </row>
    <row r="272" spans="1:9" x14ac:dyDescent="0.25">
      <c r="A272" s="140" t="s">
        <v>1401</v>
      </c>
      <c r="B272" s="2" t="s">
        <v>548</v>
      </c>
      <c r="C272" s="1" t="s">
        <v>1128</v>
      </c>
      <c r="D272" s="2" t="s">
        <v>811</v>
      </c>
      <c r="E272" s="2" t="s">
        <v>543</v>
      </c>
      <c r="F272" s="2" t="s">
        <v>558</v>
      </c>
      <c r="G272" s="2" t="s">
        <v>1137</v>
      </c>
      <c r="H272" s="54">
        <f>LEN(G272)</f>
        <v>170</v>
      </c>
      <c r="I272" s="54">
        <v>563</v>
      </c>
    </row>
    <row r="273" spans="1:9" x14ac:dyDescent="0.25">
      <c r="A273" s="140"/>
      <c r="B273" s="2" t="s">
        <v>549</v>
      </c>
      <c r="C273" s="1" t="s">
        <v>1129</v>
      </c>
      <c r="D273" s="2" t="s">
        <v>811</v>
      </c>
      <c r="E273" s="2" t="s">
        <v>544</v>
      </c>
      <c r="F273" s="2" t="s">
        <v>559</v>
      </c>
      <c r="G273" s="2" t="s">
        <v>1138</v>
      </c>
      <c r="H273" s="54">
        <f>LEN(G273)</f>
        <v>170</v>
      </c>
      <c r="I273" s="54">
        <v>564</v>
      </c>
    </row>
    <row r="274" spans="1:9" x14ac:dyDescent="0.25">
      <c r="B274" s="2" t="s">
        <v>550</v>
      </c>
      <c r="C274" s="1" t="s">
        <v>1130</v>
      </c>
      <c r="D274" s="2" t="s">
        <v>811</v>
      </c>
      <c r="E274" s="2" t="s">
        <v>545</v>
      </c>
      <c r="F274" s="2" t="s">
        <v>560</v>
      </c>
      <c r="G274" s="2" t="s">
        <v>1140</v>
      </c>
      <c r="H274" s="54">
        <f>LEN(G274)</f>
        <v>170</v>
      </c>
      <c r="I274" s="54">
        <v>562</v>
      </c>
    </row>
    <row r="275" spans="1:9" x14ac:dyDescent="0.25">
      <c r="B275" s="2" t="s">
        <v>551</v>
      </c>
      <c r="C275" s="1" t="s">
        <v>1131</v>
      </c>
      <c r="D275" s="2" t="s">
        <v>811</v>
      </c>
    </row>
    <row r="276" spans="1:9" x14ac:dyDescent="0.25">
      <c r="B276" s="2" t="s">
        <v>552</v>
      </c>
      <c r="C276" s="1" t="s">
        <v>1132</v>
      </c>
      <c r="D276" s="2" t="s">
        <v>811</v>
      </c>
    </row>
    <row r="277" spans="1:9" x14ac:dyDescent="0.25">
      <c r="B277" s="2" t="s">
        <v>553</v>
      </c>
      <c r="C277" s="1" t="s">
        <v>1133</v>
      </c>
      <c r="D277" s="2" t="s">
        <v>811</v>
      </c>
    </row>
    <row r="278" spans="1:9" x14ac:dyDescent="0.25">
      <c r="B278" s="2" t="s">
        <v>554</v>
      </c>
      <c r="C278" s="1" t="s">
        <v>1139</v>
      </c>
      <c r="D278" s="2" t="s">
        <v>811</v>
      </c>
    </row>
    <row r="279" spans="1:9" x14ac:dyDescent="0.25">
      <c r="B279" s="2" t="s">
        <v>555</v>
      </c>
      <c r="C279" s="1" t="s">
        <v>1134</v>
      </c>
      <c r="D279" s="2" t="s">
        <v>811</v>
      </c>
    </row>
    <row r="280" spans="1:9" x14ac:dyDescent="0.25">
      <c r="D280" s="2" t="str">
        <f t="shared" si="20"/>
        <v/>
      </c>
      <c r="E280" s="28" t="s">
        <v>59</v>
      </c>
      <c r="F280" s="28" t="s">
        <v>63</v>
      </c>
      <c r="G280" s="28" t="s">
        <v>60</v>
      </c>
      <c r="H280" s="100" t="s">
        <v>1404</v>
      </c>
      <c r="I280" s="100" t="s">
        <v>1405</v>
      </c>
    </row>
    <row r="281" spans="1:9" x14ac:dyDescent="0.25">
      <c r="A281" s="57" t="s">
        <v>1400</v>
      </c>
      <c r="B281" s="2" t="s">
        <v>566</v>
      </c>
      <c r="C281" s="1" t="s">
        <v>1274</v>
      </c>
      <c r="D281" s="2" t="s">
        <v>811</v>
      </c>
      <c r="E281" s="2" t="s">
        <v>561</v>
      </c>
      <c r="F281" s="2" t="s">
        <v>576</v>
      </c>
      <c r="G281" s="2" t="s">
        <v>1275</v>
      </c>
      <c r="H281" s="54">
        <f t="shared" ref="H281:H285" si="23">LEN(G281)</f>
        <v>175</v>
      </c>
      <c r="I281" s="54">
        <v>581</v>
      </c>
    </row>
    <row r="282" spans="1:9" x14ac:dyDescent="0.25">
      <c r="B282" s="2" t="s">
        <v>567</v>
      </c>
      <c r="C282" s="1" t="s">
        <v>1238</v>
      </c>
      <c r="D282" s="2" t="s">
        <v>811</v>
      </c>
      <c r="E282" s="2" t="s">
        <v>562</v>
      </c>
      <c r="F282" s="2" t="s">
        <v>577</v>
      </c>
      <c r="G282" s="2" t="s">
        <v>1270</v>
      </c>
      <c r="H282" s="54">
        <f t="shared" si="23"/>
        <v>175</v>
      </c>
      <c r="I282" s="54">
        <v>580</v>
      </c>
    </row>
    <row r="283" spans="1:9" x14ac:dyDescent="0.25">
      <c r="A283" s="140" t="s">
        <v>1401</v>
      </c>
      <c r="B283" s="2" t="s">
        <v>568</v>
      </c>
      <c r="C283" s="1" t="s">
        <v>1234</v>
      </c>
      <c r="D283" s="2" t="s">
        <v>811</v>
      </c>
      <c r="E283" s="2" t="s">
        <v>563</v>
      </c>
      <c r="F283" s="2" t="s">
        <v>578</v>
      </c>
      <c r="G283" s="2" t="s">
        <v>1271</v>
      </c>
      <c r="H283" s="54">
        <f t="shared" si="23"/>
        <v>175</v>
      </c>
      <c r="I283" s="54">
        <v>581</v>
      </c>
    </row>
    <row r="284" spans="1:9" x14ac:dyDescent="0.25">
      <c r="A284" s="140"/>
      <c r="B284" s="2" t="s">
        <v>569</v>
      </c>
      <c r="C284" s="1" t="s">
        <v>1239</v>
      </c>
      <c r="D284" s="2" t="s">
        <v>811</v>
      </c>
      <c r="E284" s="2" t="s">
        <v>564</v>
      </c>
      <c r="F284" s="2" t="s">
        <v>579</v>
      </c>
      <c r="G284" s="2" t="s">
        <v>1272</v>
      </c>
      <c r="H284" s="54">
        <f t="shared" si="23"/>
        <v>175</v>
      </c>
      <c r="I284" s="54">
        <v>580</v>
      </c>
    </row>
    <row r="285" spans="1:9" x14ac:dyDescent="0.25">
      <c r="B285" s="2" t="s">
        <v>570</v>
      </c>
      <c r="C285" s="1" t="s">
        <v>1235</v>
      </c>
      <c r="D285" s="2" t="s">
        <v>811</v>
      </c>
      <c r="E285" s="2" t="s">
        <v>565</v>
      </c>
      <c r="F285" s="2" t="s">
        <v>580</v>
      </c>
      <c r="G285" s="2" t="s">
        <v>1273</v>
      </c>
      <c r="H285" s="54">
        <f t="shared" si="23"/>
        <v>175</v>
      </c>
      <c r="I285" s="54">
        <v>579</v>
      </c>
    </row>
    <row r="286" spans="1:9" x14ac:dyDescent="0.25">
      <c r="B286" s="2" t="s">
        <v>571</v>
      </c>
      <c r="C286" s="1" t="s">
        <v>1240</v>
      </c>
      <c r="D286" s="2" t="s">
        <v>811</v>
      </c>
    </row>
    <row r="287" spans="1:9" x14ac:dyDescent="0.25">
      <c r="B287" s="2" t="s">
        <v>572</v>
      </c>
      <c r="C287" s="1" t="s">
        <v>1236</v>
      </c>
      <c r="D287" s="2" t="s">
        <v>811</v>
      </c>
    </row>
    <row r="288" spans="1:9" x14ac:dyDescent="0.25">
      <c r="B288" s="2" t="s">
        <v>573</v>
      </c>
      <c r="C288" s="1" t="s">
        <v>1241</v>
      </c>
      <c r="D288" s="2" t="s">
        <v>811</v>
      </c>
    </row>
    <row r="289" spans="1:9" x14ac:dyDescent="0.25">
      <c r="B289" s="2" t="s">
        <v>574</v>
      </c>
      <c r="C289" s="1" t="s">
        <v>1237</v>
      </c>
      <c r="D289" s="2" t="s">
        <v>811</v>
      </c>
    </row>
    <row r="290" spans="1:9" x14ac:dyDescent="0.25">
      <c r="B290" s="2" t="s">
        <v>575</v>
      </c>
      <c r="C290" s="1" t="s">
        <v>1242</v>
      </c>
      <c r="D290" s="2" t="s">
        <v>811</v>
      </c>
    </row>
    <row r="291" spans="1:9" x14ac:dyDescent="0.25">
      <c r="D291" s="2" t="str">
        <f t="shared" si="20"/>
        <v/>
      </c>
      <c r="E291" s="28" t="s">
        <v>59</v>
      </c>
      <c r="F291" s="28" t="s">
        <v>63</v>
      </c>
      <c r="G291" s="28" t="s">
        <v>60</v>
      </c>
      <c r="H291" s="100" t="s">
        <v>1404</v>
      </c>
      <c r="I291" s="100" t="s">
        <v>1405</v>
      </c>
    </row>
    <row r="292" spans="1:9" x14ac:dyDescent="0.25">
      <c r="A292" s="57" t="s">
        <v>1400</v>
      </c>
      <c r="B292" s="2" t="s">
        <v>586</v>
      </c>
      <c r="C292" s="1" t="s">
        <v>1218</v>
      </c>
      <c r="D292" s="2" t="s">
        <v>811</v>
      </c>
      <c r="E292" s="2" t="s">
        <v>581</v>
      </c>
      <c r="F292" s="2" t="s">
        <v>596</v>
      </c>
      <c r="G292" s="2" t="s">
        <v>1276</v>
      </c>
      <c r="H292" s="54">
        <f t="shared" ref="H292:H296" si="24">LEN(G292)</f>
        <v>180</v>
      </c>
      <c r="I292" s="54">
        <v>596</v>
      </c>
    </row>
    <row r="293" spans="1:9" x14ac:dyDescent="0.25">
      <c r="B293" s="2" t="s">
        <v>587</v>
      </c>
      <c r="C293" s="1" t="s">
        <v>1219</v>
      </c>
      <c r="D293" s="2" t="s">
        <v>811</v>
      </c>
      <c r="E293" s="2" t="s">
        <v>582</v>
      </c>
      <c r="F293" s="2" t="s">
        <v>597</v>
      </c>
      <c r="G293" s="2" t="s">
        <v>1277</v>
      </c>
      <c r="H293" s="54">
        <f t="shared" si="24"/>
        <v>180</v>
      </c>
      <c r="I293" s="54">
        <v>597</v>
      </c>
    </row>
    <row r="294" spans="1:9" x14ac:dyDescent="0.25">
      <c r="A294" s="140" t="s">
        <v>1401</v>
      </c>
      <c r="B294" s="2" t="s">
        <v>588</v>
      </c>
      <c r="C294" s="1" t="s">
        <v>1220</v>
      </c>
      <c r="D294" s="2" t="s">
        <v>811</v>
      </c>
      <c r="E294" s="2" t="s">
        <v>583</v>
      </c>
      <c r="F294" s="2" t="s">
        <v>598</v>
      </c>
      <c r="G294" s="2" t="s">
        <v>1278</v>
      </c>
      <c r="H294" s="54">
        <f t="shared" si="24"/>
        <v>180</v>
      </c>
      <c r="I294" s="54">
        <v>598</v>
      </c>
    </row>
    <row r="295" spans="1:9" x14ac:dyDescent="0.25">
      <c r="A295" s="140"/>
      <c r="B295" s="2" t="s">
        <v>589</v>
      </c>
      <c r="C295" s="1" t="s">
        <v>1221</v>
      </c>
      <c r="D295" s="2" t="s">
        <v>811</v>
      </c>
      <c r="E295" s="2" t="s">
        <v>584</v>
      </c>
      <c r="F295" s="2" t="s">
        <v>599</v>
      </c>
      <c r="G295" s="2" t="s">
        <v>1279</v>
      </c>
      <c r="H295" s="54">
        <f t="shared" si="24"/>
        <v>180</v>
      </c>
      <c r="I295" s="54">
        <v>596</v>
      </c>
    </row>
    <row r="296" spans="1:9" x14ac:dyDescent="0.25">
      <c r="B296" s="2" t="s">
        <v>590</v>
      </c>
      <c r="C296" s="1" t="s">
        <v>1222</v>
      </c>
      <c r="D296" s="2" t="s">
        <v>811</v>
      </c>
      <c r="E296" s="2" t="s">
        <v>585</v>
      </c>
      <c r="F296" s="2" t="s">
        <v>600</v>
      </c>
      <c r="G296" s="2" t="s">
        <v>1280</v>
      </c>
      <c r="H296" s="54">
        <f t="shared" si="24"/>
        <v>180</v>
      </c>
      <c r="I296" s="54">
        <v>596</v>
      </c>
    </row>
    <row r="297" spans="1:9" x14ac:dyDescent="0.25">
      <c r="B297" s="2" t="s">
        <v>591</v>
      </c>
      <c r="C297" s="1" t="s">
        <v>1223</v>
      </c>
      <c r="D297" s="2" t="s">
        <v>811</v>
      </c>
    </row>
    <row r="298" spans="1:9" x14ac:dyDescent="0.25">
      <c r="B298" s="2" t="s">
        <v>592</v>
      </c>
      <c r="C298" s="1" t="s">
        <v>1224</v>
      </c>
      <c r="D298" s="2" t="s">
        <v>811</v>
      </c>
    </row>
    <row r="299" spans="1:9" x14ac:dyDescent="0.25">
      <c r="B299" s="2" t="s">
        <v>593</v>
      </c>
      <c r="C299" s="1" t="s">
        <v>1225</v>
      </c>
      <c r="D299" s="2" t="s">
        <v>811</v>
      </c>
    </row>
    <row r="300" spans="1:9" x14ac:dyDescent="0.25">
      <c r="B300" s="2" t="s">
        <v>594</v>
      </c>
      <c r="C300" s="1" t="s">
        <v>1226</v>
      </c>
      <c r="D300" s="2" t="s">
        <v>811</v>
      </c>
    </row>
    <row r="301" spans="1:9" x14ac:dyDescent="0.25">
      <c r="B301" s="2" t="s">
        <v>595</v>
      </c>
      <c r="C301" s="1" t="s">
        <v>1227</v>
      </c>
      <c r="D301" s="2" t="s">
        <v>811</v>
      </c>
    </row>
    <row r="302" spans="1:9" x14ac:dyDescent="0.25">
      <c r="D302" s="2" t="str">
        <f t="shared" si="20"/>
        <v/>
      </c>
      <c r="E302" s="28" t="s">
        <v>59</v>
      </c>
      <c r="F302" s="28" t="s">
        <v>63</v>
      </c>
      <c r="G302" s="28" t="s">
        <v>60</v>
      </c>
      <c r="H302" s="100" t="s">
        <v>1404</v>
      </c>
      <c r="I302" s="100" t="s">
        <v>1405</v>
      </c>
    </row>
    <row r="303" spans="1:9" x14ac:dyDescent="0.25">
      <c r="A303" s="57" t="s">
        <v>1400</v>
      </c>
      <c r="B303" s="2" t="s">
        <v>606</v>
      </c>
      <c r="C303" s="1" t="s">
        <v>1243</v>
      </c>
      <c r="D303" s="2" t="s">
        <v>811</v>
      </c>
      <c r="E303" s="2" t="s">
        <v>601</v>
      </c>
      <c r="F303" s="2" t="s">
        <v>616</v>
      </c>
      <c r="G303" s="2" t="s">
        <v>1281</v>
      </c>
      <c r="H303" s="54">
        <f t="shared" ref="H303:H307" si="25">LEN(G303)</f>
        <v>185</v>
      </c>
      <c r="I303" s="54">
        <v>613</v>
      </c>
    </row>
    <row r="304" spans="1:9" x14ac:dyDescent="0.25">
      <c r="B304" s="2" t="s">
        <v>607</v>
      </c>
      <c r="C304" s="1" t="s">
        <v>1248</v>
      </c>
      <c r="D304" s="2" t="s">
        <v>811</v>
      </c>
      <c r="E304" s="2" t="s">
        <v>602</v>
      </c>
      <c r="F304" s="2" t="s">
        <v>617</v>
      </c>
      <c r="G304" s="2" t="s">
        <v>1282</v>
      </c>
      <c r="H304" s="54">
        <f t="shared" si="25"/>
        <v>185</v>
      </c>
      <c r="I304" s="54">
        <v>614</v>
      </c>
    </row>
    <row r="305" spans="1:9" x14ac:dyDescent="0.25">
      <c r="A305" s="140" t="s">
        <v>1401</v>
      </c>
      <c r="B305" s="2" t="s">
        <v>608</v>
      </c>
      <c r="C305" s="1" t="s">
        <v>1244</v>
      </c>
      <c r="D305" s="2" t="s">
        <v>811</v>
      </c>
      <c r="E305" s="2" t="s">
        <v>603</v>
      </c>
      <c r="F305" s="2" t="s">
        <v>618</v>
      </c>
      <c r="G305" s="2" t="s">
        <v>1283</v>
      </c>
      <c r="H305" s="54">
        <f t="shared" si="25"/>
        <v>185</v>
      </c>
      <c r="I305" s="54">
        <v>614</v>
      </c>
    </row>
    <row r="306" spans="1:9" x14ac:dyDescent="0.25">
      <c r="A306" s="140"/>
      <c r="B306" s="2" t="s">
        <v>609</v>
      </c>
      <c r="C306" s="1" t="s">
        <v>1249</v>
      </c>
      <c r="D306" s="2" t="s">
        <v>811</v>
      </c>
      <c r="E306" s="2" t="s">
        <v>604</v>
      </c>
      <c r="F306" s="2" t="s">
        <v>619</v>
      </c>
      <c r="G306" s="2" t="s">
        <v>1284</v>
      </c>
      <c r="H306" s="54">
        <f t="shared" si="25"/>
        <v>185</v>
      </c>
      <c r="I306" s="54">
        <v>612</v>
      </c>
    </row>
    <row r="307" spans="1:9" x14ac:dyDescent="0.25">
      <c r="B307" s="2" t="s">
        <v>610</v>
      </c>
      <c r="C307" s="1" t="s">
        <v>1245</v>
      </c>
      <c r="D307" s="2" t="s">
        <v>811</v>
      </c>
      <c r="E307" s="2" t="s">
        <v>605</v>
      </c>
      <c r="F307" s="2" t="s">
        <v>620</v>
      </c>
      <c r="G307" s="2" t="s">
        <v>1285</v>
      </c>
      <c r="H307" s="54">
        <f t="shared" si="25"/>
        <v>185</v>
      </c>
      <c r="I307" s="54">
        <v>614</v>
      </c>
    </row>
    <row r="308" spans="1:9" x14ac:dyDescent="0.25">
      <c r="B308" s="2" t="s">
        <v>611</v>
      </c>
      <c r="C308" s="1" t="s">
        <v>1250</v>
      </c>
      <c r="D308" s="2" t="s">
        <v>811</v>
      </c>
    </row>
    <row r="309" spans="1:9" x14ac:dyDescent="0.25">
      <c r="B309" s="2" t="s">
        <v>612</v>
      </c>
      <c r="C309" s="1" t="s">
        <v>1246</v>
      </c>
      <c r="D309" s="2" t="s">
        <v>811</v>
      </c>
    </row>
    <row r="310" spans="1:9" x14ac:dyDescent="0.25">
      <c r="B310" s="2" t="s">
        <v>613</v>
      </c>
      <c r="C310" s="1" t="s">
        <v>1251</v>
      </c>
      <c r="D310" s="2" t="s">
        <v>811</v>
      </c>
    </row>
    <row r="311" spans="1:9" x14ac:dyDescent="0.25">
      <c r="B311" s="2" t="s">
        <v>614</v>
      </c>
      <c r="C311" s="1" t="s">
        <v>1247</v>
      </c>
      <c r="D311" s="2" t="s">
        <v>811</v>
      </c>
    </row>
    <row r="312" spans="1:9" x14ac:dyDescent="0.25">
      <c r="B312" s="2" t="s">
        <v>615</v>
      </c>
      <c r="C312" s="1" t="s">
        <v>1252</v>
      </c>
      <c r="D312" s="2" t="s">
        <v>811</v>
      </c>
    </row>
    <row r="313" spans="1:9" x14ac:dyDescent="0.25">
      <c r="D313" s="2" t="str">
        <f t="shared" ref="D313:D368" si="26">SUBSTITUTE(C313," ","")</f>
        <v/>
      </c>
      <c r="E313" s="28" t="s">
        <v>59</v>
      </c>
      <c r="F313" s="28" t="s">
        <v>63</v>
      </c>
      <c r="G313" s="28" t="s">
        <v>60</v>
      </c>
      <c r="H313" s="100" t="s">
        <v>1404</v>
      </c>
      <c r="I313" s="100" t="s">
        <v>1405</v>
      </c>
    </row>
    <row r="314" spans="1:9" x14ac:dyDescent="0.25">
      <c r="A314" s="57" t="s">
        <v>1400</v>
      </c>
      <c r="B314" s="2" t="s">
        <v>626</v>
      </c>
      <c r="C314" s="1" t="s">
        <v>1208</v>
      </c>
      <c r="D314" s="2" t="s">
        <v>811</v>
      </c>
      <c r="E314" s="2" t="s">
        <v>621</v>
      </c>
      <c r="F314" s="2" t="s">
        <v>636</v>
      </c>
      <c r="G314" s="2" t="s">
        <v>1286</v>
      </c>
      <c r="H314" s="54">
        <f t="shared" ref="H314:H318" si="27">LEN(G314)</f>
        <v>190</v>
      </c>
      <c r="I314" s="54">
        <v>631</v>
      </c>
    </row>
    <row r="315" spans="1:9" x14ac:dyDescent="0.25">
      <c r="B315" s="2" t="s">
        <v>627</v>
      </c>
      <c r="C315" s="1" t="s">
        <v>1209</v>
      </c>
      <c r="D315" s="2" t="s">
        <v>811</v>
      </c>
      <c r="E315" s="2" t="s">
        <v>622</v>
      </c>
      <c r="F315" s="2" t="s">
        <v>637</v>
      </c>
      <c r="G315" s="2" t="s">
        <v>1287</v>
      </c>
      <c r="H315" s="54">
        <f t="shared" si="27"/>
        <v>190</v>
      </c>
      <c r="I315" s="54">
        <v>631</v>
      </c>
    </row>
    <row r="316" spans="1:9" x14ac:dyDescent="0.25">
      <c r="A316" s="140" t="s">
        <v>1401</v>
      </c>
      <c r="B316" s="2" t="s">
        <v>628</v>
      </c>
      <c r="C316" s="1" t="s">
        <v>1210</v>
      </c>
      <c r="D316" s="2" t="s">
        <v>811</v>
      </c>
      <c r="E316" s="2" t="s">
        <v>623</v>
      </c>
      <c r="F316" s="2" t="s">
        <v>638</v>
      </c>
      <c r="G316" s="2" t="s">
        <v>1288</v>
      </c>
      <c r="H316" s="54">
        <f t="shared" si="27"/>
        <v>190</v>
      </c>
      <c r="I316" s="54">
        <v>629</v>
      </c>
    </row>
    <row r="317" spans="1:9" x14ac:dyDescent="0.25">
      <c r="A317" s="140"/>
      <c r="B317" s="2" t="s">
        <v>629</v>
      </c>
      <c r="C317" s="1" t="s">
        <v>1211</v>
      </c>
      <c r="D317" s="2" t="s">
        <v>811</v>
      </c>
      <c r="E317" s="2" t="s">
        <v>624</v>
      </c>
      <c r="F317" s="2" t="s">
        <v>639</v>
      </c>
      <c r="G317" s="2" t="s">
        <v>1289</v>
      </c>
      <c r="H317" s="54">
        <f t="shared" si="27"/>
        <v>190</v>
      </c>
      <c r="I317" s="54">
        <v>630</v>
      </c>
    </row>
    <row r="318" spans="1:9" x14ac:dyDescent="0.25">
      <c r="B318" s="2" t="s">
        <v>630</v>
      </c>
      <c r="C318" s="1" t="s">
        <v>1212</v>
      </c>
      <c r="D318" s="2" t="s">
        <v>811</v>
      </c>
      <c r="E318" s="2" t="s">
        <v>625</v>
      </c>
      <c r="F318" s="2" t="s">
        <v>640</v>
      </c>
      <c r="G318" s="2" t="s">
        <v>1290</v>
      </c>
      <c r="H318" s="54">
        <f t="shared" si="27"/>
        <v>190</v>
      </c>
      <c r="I318" s="54">
        <v>631</v>
      </c>
    </row>
    <row r="319" spans="1:9" x14ac:dyDescent="0.25">
      <c r="B319" s="2" t="s">
        <v>631</v>
      </c>
      <c r="C319" s="1" t="s">
        <v>1213</v>
      </c>
      <c r="D319" s="2" t="s">
        <v>811</v>
      </c>
    </row>
    <row r="320" spans="1:9" x14ac:dyDescent="0.25">
      <c r="B320" s="2" t="s">
        <v>632</v>
      </c>
      <c r="C320" s="1" t="s">
        <v>1214</v>
      </c>
      <c r="D320" s="2" t="s">
        <v>811</v>
      </c>
    </row>
    <row r="321" spans="1:9" x14ac:dyDescent="0.25">
      <c r="B321" s="2" t="s">
        <v>633</v>
      </c>
      <c r="C321" s="1" t="s">
        <v>1215</v>
      </c>
      <c r="D321" s="2" t="s">
        <v>811</v>
      </c>
    </row>
    <row r="322" spans="1:9" x14ac:dyDescent="0.25">
      <c r="B322" s="2" t="s">
        <v>634</v>
      </c>
      <c r="C322" s="1" t="s">
        <v>1216</v>
      </c>
      <c r="D322" s="2" t="s">
        <v>811</v>
      </c>
    </row>
    <row r="323" spans="1:9" x14ac:dyDescent="0.25">
      <c r="B323" s="2" t="s">
        <v>635</v>
      </c>
      <c r="C323" s="1" t="s">
        <v>1217</v>
      </c>
      <c r="D323" s="2" t="s">
        <v>811</v>
      </c>
    </row>
    <row r="324" spans="1:9" x14ac:dyDescent="0.25">
      <c r="D324" s="2" t="str">
        <f t="shared" si="26"/>
        <v/>
      </c>
      <c r="E324" s="28" t="s">
        <v>59</v>
      </c>
      <c r="F324" s="28" t="s">
        <v>63</v>
      </c>
      <c r="G324" s="28" t="s">
        <v>60</v>
      </c>
      <c r="H324" s="100" t="s">
        <v>1404</v>
      </c>
      <c r="I324" s="100" t="s">
        <v>1405</v>
      </c>
    </row>
    <row r="325" spans="1:9" x14ac:dyDescent="0.25">
      <c r="A325" s="57" t="s">
        <v>1400</v>
      </c>
      <c r="B325" s="2" t="s">
        <v>646</v>
      </c>
      <c r="C325" s="1" t="s">
        <v>1253</v>
      </c>
      <c r="D325" s="2" t="s">
        <v>811</v>
      </c>
      <c r="E325" s="2" t="s">
        <v>641</v>
      </c>
      <c r="F325" s="2" t="s">
        <v>656</v>
      </c>
      <c r="G325" s="2" t="s">
        <v>1291</v>
      </c>
      <c r="H325" s="54">
        <f t="shared" ref="H325:H329" si="28">LEN(G325)</f>
        <v>195</v>
      </c>
      <c r="I325" s="54">
        <v>646</v>
      </c>
    </row>
    <row r="326" spans="1:9" x14ac:dyDescent="0.25">
      <c r="B326" s="2" t="s">
        <v>647</v>
      </c>
      <c r="C326" s="1" t="s">
        <v>1258</v>
      </c>
      <c r="D326" s="2" t="s">
        <v>811</v>
      </c>
      <c r="E326" s="2" t="s">
        <v>642</v>
      </c>
      <c r="F326" s="2" t="s">
        <v>657</v>
      </c>
      <c r="G326" s="2" t="s">
        <v>1296</v>
      </c>
      <c r="H326" s="54">
        <f t="shared" si="28"/>
        <v>195</v>
      </c>
      <c r="I326" s="54">
        <v>647</v>
      </c>
    </row>
    <row r="327" spans="1:9" x14ac:dyDescent="0.25">
      <c r="A327" s="140" t="s">
        <v>1401</v>
      </c>
      <c r="B327" s="2" t="s">
        <v>648</v>
      </c>
      <c r="C327" s="1" t="s">
        <v>1254</v>
      </c>
      <c r="D327" s="2" t="s">
        <v>811</v>
      </c>
      <c r="E327" s="2" t="s">
        <v>643</v>
      </c>
      <c r="F327" s="2" t="s">
        <v>658</v>
      </c>
      <c r="G327" s="2" t="s">
        <v>1292</v>
      </c>
      <c r="H327" s="54">
        <f t="shared" si="28"/>
        <v>195</v>
      </c>
      <c r="I327" s="54">
        <v>645</v>
      </c>
    </row>
    <row r="328" spans="1:9" x14ac:dyDescent="0.25">
      <c r="A328" s="140"/>
      <c r="B328" s="2" t="s">
        <v>649</v>
      </c>
      <c r="C328" s="1" t="s">
        <v>1295</v>
      </c>
      <c r="D328" s="2" t="s">
        <v>811</v>
      </c>
      <c r="E328" s="2" t="s">
        <v>644</v>
      </c>
      <c r="F328" s="2" t="s">
        <v>659</v>
      </c>
      <c r="G328" s="2" t="s">
        <v>1293</v>
      </c>
      <c r="H328" s="54">
        <f t="shared" si="28"/>
        <v>195</v>
      </c>
      <c r="I328" s="54">
        <v>646</v>
      </c>
    </row>
    <row r="329" spans="1:9" x14ac:dyDescent="0.25">
      <c r="B329" s="2" t="s">
        <v>650</v>
      </c>
      <c r="C329" s="1" t="s">
        <v>1255</v>
      </c>
      <c r="D329" s="2" t="s">
        <v>811</v>
      </c>
      <c r="E329" s="2" t="s">
        <v>645</v>
      </c>
      <c r="F329" s="2" t="s">
        <v>660</v>
      </c>
      <c r="G329" s="2" t="s">
        <v>1294</v>
      </c>
      <c r="H329" s="54">
        <f t="shared" si="28"/>
        <v>195</v>
      </c>
      <c r="I329" s="54">
        <v>646</v>
      </c>
    </row>
    <row r="330" spans="1:9" x14ac:dyDescent="0.25">
      <c r="B330" s="2" t="s">
        <v>651</v>
      </c>
      <c r="C330" s="1" t="s">
        <v>1259</v>
      </c>
      <c r="D330" s="2" t="s">
        <v>811</v>
      </c>
    </row>
    <row r="331" spans="1:9" x14ac:dyDescent="0.25">
      <c r="B331" s="2" t="s">
        <v>652</v>
      </c>
      <c r="C331" s="1" t="s">
        <v>1256</v>
      </c>
      <c r="D331" s="2" t="s">
        <v>811</v>
      </c>
    </row>
    <row r="332" spans="1:9" x14ac:dyDescent="0.25">
      <c r="B332" s="2" t="s">
        <v>653</v>
      </c>
      <c r="C332" s="1" t="s">
        <v>1260</v>
      </c>
      <c r="D332" s="2" t="s">
        <v>811</v>
      </c>
    </row>
    <row r="333" spans="1:9" x14ac:dyDescent="0.25">
      <c r="B333" s="2" t="s">
        <v>654</v>
      </c>
      <c r="C333" s="1" t="s">
        <v>1257</v>
      </c>
      <c r="D333" s="2" t="s">
        <v>811</v>
      </c>
    </row>
    <row r="334" spans="1:9" x14ac:dyDescent="0.25">
      <c r="B334" s="2" t="s">
        <v>655</v>
      </c>
      <c r="C334" s="1" t="s">
        <v>1261</v>
      </c>
      <c r="D334" s="2" t="s">
        <v>811</v>
      </c>
    </row>
    <row r="335" spans="1:9" x14ac:dyDescent="0.25">
      <c r="D335" s="2" t="str">
        <f t="shared" si="26"/>
        <v/>
      </c>
      <c r="E335" s="28" t="s">
        <v>59</v>
      </c>
      <c r="F335" s="28" t="s">
        <v>63</v>
      </c>
      <c r="G335" s="28" t="s">
        <v>60</v>
      </c>
      <c r="H335" s="100" t="s">
        <v>1404</v>
      </c>
      <c r="I335" s="100" t="s">
        <v>1405</v>
      </c>
    </row>
    <row r="336" spans="1:9" x14ac:dyDescent="0.25">
      <c r="A336" s="57" t="s">
        <v>1400</v>
      </c>
      <c r="B336" s="2" t="s">
        <v>666</v>
      </c>
      <c r="C336" s="1" t="s">
        <v>1141</v>
      </c>
      <c r="D336" s="2" t="s">
        <v>811</v>
      </c>
      <c r="E336" s="2" t="s">
        <v>661</v>
      </c>
      <c r="F336" s="2" t="s">
        <v>676</v>
      </c>
      <c r="G336" s="2" t="s">
        <v>1297</v>
      </c>
      <c r="H336" s="54">
        <f t="shared" ref="H336:H340" si="29">LEN(G336)</f>
        <v>200</v>
      </c>
      <c r="I336" s="54">
        <v>663</v>
      </c>
    </row>
    <row r="337" spans="1:9" ht="14.45" customHeight="1" x14ac:dyDescent="0.25">
      <c r="B337" s="2" t="s">
        <v>667</v>
      </c>
      <c r="C337" s="1" t="s">
        <v>1142</v>
      </c>
      <c r="D337" s="2" t="s">
        <v>811</v>
      </c>
      <c r="E337" s="2" t="s">
        <v>662</v>
      </c>
      <c r="F337" s="2" t="s">
        <v>677</v>
      </c>
      <c r="G337" s="2" t="s">
        <v>1298</v>
      </c>
      <c r="H337" s="54">
        <f t="shared" si="29"/>
        <v>200</v>
      </c>
      <c r="I337" s="54">
        <v>663</v>
      </c>
    </row>
    <row r="338" spans="1:9" ht="14.45" customHeight="1" x14ac:dyDescent="0.25">
      <c r="A338" s="140" t="s">
        <v>1401</v>
      </c>
      <c r="B338" s="2" t="s">
        <v>668</v>
      </c>
      <c r="C338" s="1" t="s">
        <v>1143</v>
      </c>
      <c r="D338" s="2" t="s">
        <v>811</v>
      </c>
      <c r="E338" s="2" t="s">
        <v>663</v>
      </c>
      <c r="F338" s="2" t="s">
        <v>678</v>
      </c>
      <c r="G338" s="2" t="s">
        <v>1299</v>
      </c>
      <c r="H338" s="54">
        <f t="shared" si="29"/>
        <v>200</v>
      </c>
      <c r="I338" s="54">
        <v>662</v>
      </c>
    </row>
    <row r="339" spans="1:9" x14ac:dyDescent="0.25">
      <c r="A339" s="140"/>
      <c r="B339" s="2" t="s">
        <v>669</v>
      </c>
      <c r="C339" s="1" t="s">
        <v>1144</v>
      </c>
      <c r="D339" s="2" t="s">
        <v>811</v>
      </c>
      <c r="E339" s="2" t="s">
        <v>664</v>
      </c>
      <c r="F339" s="2" t="s">
        <v>679</v>
      </c>
      <c r="G339" s="2" t="s">
        <v>1300</v>
      </c>
      <c r="H339" s="54">
        <f t="shared" si="29"/>
        <v>200</v>
      </c>
      <c r="I339" s="54">
        <v>663</v>
      </c>
    </row>
    <row r="340" spans="1:9" x14ac:dyDescent="0.25">
      <c r="B340" s="2" t="s">
        <v>670</v>
      </c>
      <c r="C340" s="1" t="s">
        <v>1145</v>
      </c>
      <c r="D340" s="2" t="s">
        <v>811</v>
      </c>
      <c r="E340" s="2" t="s">
        <v>665</v>
      </c>
      <c r="F340" s="2" t="s">
        <v>680</v>
      </c>
      <c r="G340" s="2" t="s">
        <v>1301</v>
      </c>
      <c r="H340" s="54">
        <f t="shared" si="29"/>
        <v>200</v>
      </c>
      <c r="I340" s="54">
        <v>664</v>
      </c>
    </row>
    <row r="341" spans="1:9" x14ac:dyDescent="0.25">
      <c r="B341" s="2" t="s">
        <v>671</v>
      </c>
      <c r="C341" s="1" t="s">
        <v>1146</v>
      </c>
      <c r="D341" s="2" t="s">
        <v>811</v>
      </c>
    </row>
    <row r="342" spans="1:9" x14ac:dyDescent="0.25">
      <c r="B342" s="2" t="s">
        <v>672</v>
      </c>
      <c r="C342" s="1" t="s">
        <v>1147</v>
      </c>
      <c r="D342" s="2" t="s">
        <v>811</v>
      </c>
    </row>
    <row r="343" spans="1:9" x14ac:dyDescent="0.25">
      <c r="B343" s="2" t="s">
        <v>673</v>
      </c>
      <c r="C343" s="1" t="s">
        <v>1148</v>
      </c>
      <c r="D343" s="2" t="s">
        <v>811</v>
      </c>
    </row>
    <row r="344" spans="1:9" x14ac:dyDescent="0.25">
      <c r="B344" s="2" t="s">
        <v>674</v>
      </c>
      <c r="C344" s="1" t="s">
        <v>1149</v>
      </c>
      <c r="D344" s="2" t="s">
        <v>811</v>
      </c>
    </row>
    <row r="345" spans="1:9" x14ac:dyDescent="0.25">
      <c r="B345" s="2" t="s">
        <v>675</v>
      </c>
      <c r="C345" s="1" t="s">
        <v>1150</v>
      </c>
      <c r="D345" s="2" t="s">
        <v>811</v>
      </c>
    </row>
    <row r="346" spans="1:9" x14ac:dyDescent="0.25">
      <c r="D346" s="2" t="str">
        <f t="shared" si="26"/>
        <v/>
      </c>
      <c r="E346" s="28" t="s">
        <v>59</v>
      </c>
      <c r="F346" s="28" t="s">
        <v>63</v>
      </c>
      <c r="G346" s="28" t="s">
        <v>60</v>
      </c>
      <c r="H346" s="100" t="s">
        <v>1404</v>
      </c>
      <c r="I346" s="100" t="s">
        <v>1405</v>
      </c>
    </row>
    <row r="347" spans="1:9" x14ac:dyDescent="0.25">
      <c r="A347" s="57" t="s">
        <v>1400</v>
      </c>
      <c r="B347" s="2" t="s">
        <v>686</v>
      </c>
      <c r="C347" s="1" t="s">
        <v>1262</v>
      </c>
      <c r="D347" s="2" t="s">
        <v>811</v>
      </c>
      <c r="E347" s="2" t="s">
        <v>681</v>
      </c>
      <c r="F347" s="2" t="s">
        <v>696</v>
      </c>
      <c r="G347" s="2" t="s">
        <v>1306</v>
      </c>
      <c r="H347" s="54">
        <f t="shared" ref="H347:H351" si="30">LEN(G347)</f>
        <v>205</v>
      </c>
      <c r="I347" s="54">
        <v>680</v>
      </c>
    </row>
    <row r="348" spans="1:9" x14ac:dyDescent="0.25">
      <c r="B348" s="2" t="s">
        <v>687</v>
      </c>
      <c r="C348" s="1" t="s">
        <v>1305</v>
      </c>
      <c r="D348" s="2" t="s">
        <v>811</v>
      </c>
      <c r="E348" s="2" t="s">
        <v>682</v>
      </c>
      <c r="F348" s="2" t="s">
        <v>697</v>
      </c>
      <c r="G348" s="2" t="s">
        <v>1308</v>
      </c>
      <c r="H348" s="54">
        <f t="shared" si="30"/>
        <v>205</v>
      </c>
      <c r="I348" s="54">
        <v>679</v>
      </c>
    </row>
    <row r="349" spans="1:9" x14ac:dyDescent="0.25">
      <c r="A349" s="140" t="s">
        <v>1401</v>
      </c>
      <c r="B349" s="2" t="s">
        <v>688</v>
      </c>
      <c r="C349" s="1" t="s">
        <v>1307</v>
      </c>
      <c r="D349" s="2" t="s">
        <v>811</v>
      </c>
      <c r="E349" s="2" t="s">
        <v>683</v>
      </c>
      <c r="F349" s="2" t="s">
        <v>698</v>
      </c>
      <c r="G349" s="2" t="s">
        <v>1302</v>
      </c>
      <c r="H349" s="54">
        <f t="shared" si="30"/>
        <v>205</v>
      </c>
      <c r="I349" s="54">
        <v>680</v>
      </c>
    </row>
    <row r="350" spans="1:9" x14ac:dyDescent="0.25">
      <c r="A350" s="140"/>
      <c r="B350" s="2" t="s">
        <v>689</v>
      </c>
      <c r="C350" s="1" t="s">
        <v>1266</v>
      </c>
      <c r="D350" s="2" t="s">
        <v>811</v>
      </c>
      <c r="E350" s="2" t="s">
        <v>684</v>
      </c>
      <c r="F350" s="2" t="s">
        <v>699</v>
      </c>
      <c r="G350" s="2" t="s">
        <v>1303</v>
      </c>
      <c r="H350" s="54">
        <f t="shared" si="30"/>
        <v>205</v>
      </c>
      <c r="I350" s="54">
        <v>680</v>
      </c>
    </row>
    <row r="351" spans="1:9" x14ac:dyDescent="0.25">
      <c r="B351" s="2" t="s">
        <v>690</v>
      </c>
      <c r="C351" s="1" t="s">
        <v>1263</v>
      </c>
      <c r="D351" s="2" t="s">
        <v>811</v>
      </c>
      <c r="E351" s="2" t="s">
        <v>685</v>
      </c>
      <c r="F351" s="2" t="s">
        <v>700</v>
      </c>
      <c r="G351" s="2" t="s">
        <v>1304</v>
      </c>
      <c r="H351" s="54">
        <f t="shared" si="30"/>
        <v>205</v>
      </c>
      <c r="I351" s="54">
        <v>680</v>
      </c>
    </row>
    <row r="352" spans="1:9" x14ac:dyDescent="0.25">
      <c r="B352" s="2" t="s">
        <v>691</v>
      </c>
      <c r="C352" s="1" t="s">
        <v>1267</v>
      </c>
      <c r="D352" s="2" t="s">
        <v>811</v>
      </c>
    </row>
    <row r="353" spans="1:9" x14ac:dyDescent="0.25">
      <c r="B353" s="2" t="s">
        <v>692</v>
      </c>
      <c r="C353" s="1" t="s">
        <v>1264</v>
      </c>
      <c r="D353" s="2" t="s">
        <v>811</v>
      </c>
    </row>
    <row r="354" spans="1:9" x14ac:dyDescent="0.25">
      <c r="B354" s="2" t="s">
        <v>693</v>
      </c>
      <c r="C354" s="1" t="s">
        <v>1268</v>
      </c>
      <c r="D354" s="2" t="s">
        <v>811</v>
      </c>
    </row>
    <row r="355" spans="1:9" x14ac:dyDescent="0.25">
      <c r="B355" s="2" t="s">
        <v>694</v>
      </c>
      <c r="C355" s="1" t="s">
        <v>1265</v>
      </c>
      <c r="D355" s="2" t="s">
        <v>811</v>
      </c>
    </row>
    <row r="356" spans="1:9" x14ac:dyDescent="0.25">
      <c r="B356" s="2" t="s">
        <v>695</v>
      </c>
      <c r="C356" s="1" t="s">
        <v>1269</v>
      </c>
      <c r="D356" s="2" t="s">
        <v>811</v>
      </c>
    </row>
    <row r="357" spans="1:9" x14ac:dyDescent="0.25">
      <c r="D357" s="2" t="str">
        <f t="shared" si="26"/>
        <v/>
      </c>
      <c r="E357" s="28" t="s">
        <v>59</v>
      </c>
      <c r="F357" s="28" t="s">
        <v>63</v>
      </c>
      <c r="G357" s="28" t="s">
        <v>60</v>
      </c>
      <c r="H357" s="100" t="s">
        <v>1404</v>
      </c>
      <c r="I357" s="100" t="s">
        <v>1405</v>
      </c>
    </row>
    <row r="358" spans="1:9" x14ac:dyDescent="0.25">
      <c r="A358" s="57" t="s">
        <v>1400</v>
      </c>
      <c r="B358" s="2" t="s">
        <v>706</v>
      </c>
      <c r="C358" s="1" t="s">
        <v>1151</v>
      </c>
      <c r="D358" s="2" t="s">
        <v>811</v>
      </c>
      <c r="E358" s="2" t="s">
        <v>701</v>
      </c>
      <c r="F358" s="2" t="s">
        <v>716</v>
      </c>
      <c r="G358" s="2" t="s">
        <v>1309</v>
      </c>
      <c r="H358" s="54">
        <f t="shared" ref="H358:H362" si="31">LEN(G358)</f>
        <v>210</v>
      </c>
      <c r="I358" s="54">
        <v>696</v>
      </c>
    </row>
    <row r="359" spans="1:9" x14ac:dyDescent="0.25">
      <c r="B359" s="2" t="s">
        <v>707</v>
      </c>
      <c r="C359" s="1" t="s">
        <v>1152</v>
      </c>
      <c r="D359" s="2" t="s">
        <v>811</v>
      </c>
      <c r="E359" s="2" t="s">
        <v>702</v>
      </c>
      <c r="F359" s="2" t="s">
        <v>717</v>
      </c>
      <c r="G359" s="2" t="s">
        <v>1310</v>
      </c>
      <c r="H359" s="54">
        <f t="shared" si="31"/>
        <v>210</v>
      </c>
      <c r="I359" s="54">
        <v>696</v>
      </c>
    </row>
    <row r="360" spans="1:9" x14ac:dyDescent="0.25">
      <c r="A360" s="140" t="s">
        <v>1401</v>
      </c>
      <c r="B360" s="2" t="s">
        <v>708</v>
      </c>
      <c r="C360" s="1" t="s">
        <v>1153</v>
      </c>
      <c r="D360" s="2" t="s">
        <v>811</v>
      </c>
      <c r="E360" s="2" t="s">
        <v>703</v>
      </c>
      <c r="F360" s="2" t="s">
        <v>718</v>
      </c>
      <c r="G360" s="2" t="s">
        <v>1311</v>
      </c>
      <c r="H360" s="54">
        <f t="shared" si="31"/>
        <v>210</v>
      </c>
      <c r="I360" s="54">
        <v>695</v>
      </c>
    </row>
    <row r="361" spans="1:9" x14ac:dyDescent="0.25">
      <c r="A361" s="140"/>
      <c r="B361" s="2" t="s">
        <v>709</v>
      </c>
      <c r="C361" s="1" t="s">
        <v>1154</v>
      </c>
      <c r="D361" s="2" t="s">
        <v>811</v>
      </c>
      <c r="E361" s="2" t="s">
        <v>704</v>
      </c>
      <c r="F361" s="2" t="s">
        <v>719</v>
      </c>
      <c r="G361" s="2" t="s">
        <v>1312</v>
      </c>
      <c r="H361" s="54">
        <f t="shared" si="31"/>
        <v>210</v>
      </c>
      <c r="I361" s="54">
        <v>695</v>
      </c>
    </row>
    <row r="362" spans="1:9" x14ac:dyDescent="0.25">
      <c r="B362" s="2" t="s">
        <v>710</v>
      </c>
      <c r="C362" s="1" t="s">
        <v>1155</v>
      </c>
      <c r="D362" s="2" t="s">
        <v>811</v>
      </c>
      <c r="E362" s="2" t="s">
        <v>705</v>
      </c>
      <c r="F362" s="2" t="s">
        <v>720</v>
      </c>
      <c r="G362" s="2" t="s">
        <v>1313</v>
      </c>
      <c r="H362" s="54">
        <f t="shared" si="31"/>
        <v>210</v>
      </c>
      <c r="I362" s="54">
        <v>696</v>
      </c>
    </row>
    <row r="363" spans="1:9" x14ac:dyDescent="0.25">
      <c r="B363" s="2" t="s">
        <v>711</v>
      </c>
      <c r="C363" s="1" t="s">
        <v>1156</v>
      </c>
      <c r="D363" s="2" t="s">
        <v>811</v>
      </c>
    </row>
    <row r="364" spans="1:9" x14ac:dyDescent="0.25">
      <c r="B364" s="2" t="s">
        <v>712</v>
      </c>
      <c r="C364" s="1" t="s">
        <v>1157</v>
      </c>
      <c r="D364" s="2" t="s">
        <v>811</v>
      </c>
    </row>
    <row r="365" spans="1:9" x14ac:dyDescent="0.25">
      <c r="B365" s="2" t="s">
        <v>713</v>
      </c>
      <c r="C365" s="1" t="s">
        <v>1158</v>
      </c>
      <c r="D365" s="2" t="s">
        <v>811</v>
      </c>
    </row>
    <row r="366" spans="1:9" x14ac:dyDescent="0.25">
      <c r="B366" s="2" t="s">
        <v>714</v>
      </c>
      <c r="C366" s="1" t="s">
        <v>1159</v>
      </c>
      <c r="D366" s="2" t="s">
        <v>811</v>
      </c>
    </row>
    <row r="367" spans="1:9" x14ac:dyDescent="0.25">
      <c r="B367" s="2" t="s">
        <v>715</v>
      </c>
      <c r="C367" s="1" t="s">
        <v>1160</v>
      </c>
      <c r="D367" s="2" t="s">
        <v>811</v>
      </c>
    </row>
    <row r="368" spans="1:9" x14ac:dyDescent="0.25">
      <c r="D368" s="2" t="str">
        <f t="shared" si="26"/>
        <v/>
      </c>
      <c r="E368" s="28" t="s">
        <v>59</v>
      </c>
      <c r="F368" s="28" t="s">
        <v>63</v>
      </c>
      <c r="G368" s="28" t="s">
        <v>60</v>
      </c>
      <c r="H368" s="100" t="s">
        <v>1404</v>
      </c>
      <c r="I368" s="100" t="s">
        <v>1405</v>
      </c>
    </row>
    <row r="369" spans="1:9" x14ac:dyDescent="0.25">
      <c r="A369" s="57" t="s">
        <v>1400</v>
      </c>
      <c r="B369" s="2" t="s">
        <v>726</v>
      </c>
      <c r="C369" s="1" t="s">
        <v>1161</v>
      </c>
      <c r="D369" s="2" t="s">
        <v>811</v>
      </c>
      <c r="E369" s="2" t="s">
        <v>721</v>
      </c>
      <c r="F369" s="2" t="s">
        <v>736</v>
      </c>
      <c r="G369" s="2" t="s">
        <v>1314</v>
      </c>
      <c r="H369" s="54">
        <f t="shared" ref="H369:H373" si="32">LEN(G369)</f>
        <v>220</v>
      </c>
      <c r="I369" s="54">
        <v>730</v>
      </c>
    </row>
    <row r="370" spans="1:9" x14ac:dyDescent="0.25">
      <c r="B370" s="2" t="s">
        <v>727</v>
      </c>
      <c r="C370" s="1" t="s">
        <v>1162</v>
      </c>
      <c r="D370" s="2" t="s">
        <v>811</v>
      </c>
      <c r="E370" s="2" t="s">
        <v>722</v>
      </c>
      <c r="F370" s="2" t="s">
        <v>737</v>
      </c>
      <c r="G370" s="2" t="s">
        <v>1315</v>
      </c>
      <c r="H370" s="54">
        <f t="shared" si="32"/>
        <v>220</v>
      </c>
      <c r="I370" s="54">
        <v>730</v>
      </c>
    </row>
    <row r="371" spans="1:9" x14ac:dyDescent="0.25">
      <c r="A371" s="140" t="s">
        <v>1401</v>
      </c>
      <c r="B371" s="2" t="s">
        <v>728</v>
      </c>
      <c r="C371" s="1" t="s">
        <v>1163</v>
      </c>
      <c r="D371" s="2" t="s">
        <v>811</v>
      </c>
      <c r="E371" s="2" t="s">
        <v>723</v>
      </c>
      <c r="F371" s="2" t="s">
        <v>738</v>
      </c>
      <c r="G371" s="2" t="s">
        <v>1316</v>
      </c>
      <c r="H371" s="54">
        <f t="shared" si="32"/>
        <v>220</v>
      </c>
      <c r="I371" s="54">
        <v>730</v>
      </c>
    </row>
    <row r="372" spans="1:9" x14ac:dyDescent="0.25">
      <c r="A372" s="140"/>
      <c r="B372" s="2" t="s">
        <v>729</v>
      </c>
      <c r="C372" s="1" t="s">
        <v>1164</v>
      </c>
      <c r="D372" s="2" t="s">
        <v>811</v>
      </c>
      <c r="E372" s="2" t="s">
        <v>724</v>
      </c>
      <c r="F372" s="2" t="s">
        <v>739</v>
      </c>
      <c r="G372" s="2" t="s">
        <v>1317</v>
      </c>
      <c r="H372" s="54">
        <f t="shared" si="32"/>
        <v>220</v>
      </c>
      <c r="I372" s="54">
        <v>729</v>
      </c>
    </row>
    <row r="373" spans="1:9" x14ac:dyDescent="0.25">
      <c r="B373" s="2" t="s">
        <v>730</v>
      </c>
      <c r="C373" s="1" t="s">
        <v>1165</v>
      </c>
      <c r="D373" s="2" t="s">
        <v>811</v>
      </c>
      <c r="E373" s="2" t="s">
        <v>725</v>
      </c>
      <c r="F373" s="2" t="s">
        <v>740</v>
      </c>
      <c r="G373" s="2" t="s">
        <v>1318</v>
      </c>
      <c r="H373" s="54">
        <f t="shared" si="32"/>
        <v>220</v>
      </c>
      <c r="I373" s="54">
        <v>730</v>
      </c>
    </row>
    <row r="374" spans="1:9" x14ac:dyDescent="0.25">
      <c r="B374" s="2" t="s">
        <v>731</v>
      </c>
      <c r="C374" s="1" t="s">
        <v>1166</v>
      </c>
      <c r="D374" s="2" t="s">
        <v>811</v>
      </c>
    </row>
    <row r="375" spans="1:9" x14ac:dyDescent="0.25">
      <c r="B375" s="2" t="s">
        <v>732</v>
      </c>
      <c r="C375" s="1" t="s">
        <v>1167</v>
      </c>
      <c r="D375" s="2" t="s">
        <v>811</v>
      </c>
    </row>
    <row r="376" spans="1:9" x14ac:dyDescent="0.25">
      <c r="B376" s="2" t="s">
        <v>733</v>
      </c>
      <c r="C376" s="1" t="s">
        <v>1168</v>
      </c>
      <c r="D376" s="2" t="s">
        <v>811</v>
      </c>
    </row>
    <row r="377" spans="1:9" x14ac:dyDescent="0.25">
      <c r="B377" s="2" t="s">
        <v>734</v>
      </c>
      <c r="C377" s="1" t="s">
        <v>1169</v>
      </c>
      <c r="D377" s="2" t="s">
        <v>811</v>
      </c>
    </row>
    <row r="378" spans="1:9" x14ac:dyDescent="0.25">
      <c r="B378" s="2" t="s">
        <v>735</v>
      </c>
      <c r="C378" s="1" t="s">
        <v>1170</v>
      </c>
      <c r="D378" s="2" t="s">
        <v>811</v>
      </c>
    </row>
    <row r="379" spans="1:9" x14ac:dyDescent="0.25">
      <c r="D379" s="2" t="str">
        <f t="shared" ref="D379:D412" si="33">SUBSTITUTE(C379," ","")</f>
        <v/>
      </c>
      <c r="E379" s="28" t="s">
        <v>59</v>
      </c>
      <c r="F379" s="28" t="s">
        <v>63</v>
      </c>
      <c r="G379" s="28" t="s">
        <v>60</v>
      </c>
      <c r="H379" s="100" t="s">
        <v>1404</v>
      </c>
      <c r="I379" s="100" t="s">
        <v>1405</v>
      </c>
    </row>
    <row r="380" spans="1:9" x14ac:dyDescent="0.25">
      <c r="A380" s="57" t="s">
        <v>1400</v>
      </c>
      <c r="B380" s="2" t="s">
        <v>746</v>
      </c>
      <c r="C380" s="1" t="s">
        <v>1171</v>
      </c>
      <c r="D380" s="2" t="s">
        <v>811</v>
      </c>
      <c r="E380" s="2" t="s">
        <v>741</v>
      </c>
      <c r="F380" s="2" t="s">
        <v>756</v>
      </c>
      <c r="G380" s="2" t="s">
        <v>1319</v>
      </c>
      <c r="H380" s="54">
        <f t="shared" ref="H380:H384" si="34">LEN(G380)</f>
        <v>230</v>
      </c>
      <c r="I380" s="54">
        <v>762</v>
      </c>
    </row>
    <row r="381" spans="1:9" x14ac:dyDescent="0.25">
      <c r="B381" s="2" t="s">
        <v>747</v>
      </c>
      <c r="C381" s="1" t="s">
        <v>1172</v>
      </c>
      <c r="D381" s="2" t="s">
        <v>811</v>
      </c>
      <c r="E381" s="2" t="s">
        <v>742</v>
      </c>
      <c r="F381" s="2" t="s">
        <v>757</v>
      </c>
      <c r="G381" s="2" t="s">
        <v>1320</v>
      </c>
      <c r="H381" s="54">
        <f t="shared" si="34"/>
        <v>230</v>
      </c>
      <c r="I381" s="54">
        <v>763</v>
      </c>
    </row>
    <row r="382" spans="1:9" x14ac:dyDescent="0.25">
      <c r="A382" s="140" t="s">
        <v>1401</v>
      </c>
      <c r="B382" s="2" t="s">
        <v>748</v>
      </c>
      <c r="C382" s="1" t="s">
        <v>1173</v>
      </c>
      <c r="D382" s="2" t="s">
        <v>811</v>
      </c>
      <c r="E382" s="2" t="s">
        <v>743</v>
      </c>
      <c r="F382" s="2" t="s">
        <v>758</v>
      </c>
      <c r="G382" s="2" t="s">
        <v>1321</v>
      </c>
      <c r="H382" s="54">
        <f t="shared" si="34"/>
        <v>230</v>
      </c>
      <c r="I382" s="54">
        <v>762</v>
      </c>
    </row>
    <row r="383" spans="1:9" x14ac:dyDescent="0.25">
      <c r="A383" s="140"/>
      <c r="B383" s="2" t="s">
        <v>749</v>
      </c>
      <c r="C383" s="1" t="s">
        <v>1174</v>
      </c>
      <c r="D383" s="2" t="s">
        <v>811</v>
      </c>
      <c r="E383" s="2" t="s">
        <v>744</v>
      </c>
      <c r="F383" s="2" t="s">
        <v>759</v>
      </c>
      <c r="G383" s="2" t="s">
        <v>1322</v>
      </c>
      <c r="H383" s="54">
        <f t="shared" si="34"/>
        <v>230</v>
      </c>
      <c r="I383" s="54">
        <v>762</v>
      </c>
    </row>
    <row r="384" spans="1:9" x14ac:dyDescent="0.25">
      <c r="B384" s="2" t="s">
        <v>750</v>
      </c>
      <c r="C384" s="1" t="s">
        <v>1175</v>
      </c>
      <c r="D384" s="2" t="s">
        <v>811</v>
      </c>
      <c r="E384" s="2" t="s">
        <v>745</v>
      </c>
      <c r="F384" s="2" t="s">
        <v>760</v>
      </c>
      <c r="G384" s="2" t="s">
        <v>1323</v>
      </c>
      <c r="H384" s="54">
        <f t="shared" si="34"/>
        <v>230</v>
      </c>
      <c r="I384" s="54">
        <v>763</v>
      </c>
    </row>
    <row r="385" spans="1:9" x14ac:dyDescent="0.25">
      <c r="B385" s="2" t="s">
        <v>751</v>
      </c>
      <c r="C385" s="1" t="s">
        <v>1176</v>
      </c>
      <c r="D385" s="2" t="s">
        <v>811</v>
      </c>
    </row>
    <row r="386" spans="1:9" x14ac:dyDescent="0.25">
      <c r="B386" s="2" t="s">
        <v>752</v>
      </c>
      <c r="C386" s="1" t="s">
        <v>1177</v>
      </c>
      <c r="D386" s="2" t="s">
        <v>811</v>
      </c>
    </row>
    <row r="387" spans="1:9" x14ac:dyDescent="0.25">
      <c r="B387" s="2" t="s">
        <v>753</v>
      </c>
      <c r="C387" s="1" t="s">
        <v>1178</v>
      </c>
      <c r="D387" s="2" t="s">
        <v>811</v>
      </c>
    </row>
    <row r="388" spans="1:9" x14ac:dyDescent="0.25">
      <c r="B388" s="2" t="s">
        <v>754</v>
      </c>
      <c r="C388" s="1" t="s">
        <v>1179</v>
      </c>
      <c r="D388" s="2" t="s">
        <v>811</v>
      </c>
    </row>
    <row r="389" spans="1:9" x14ac:dyDescent="0.25">
      <c r="B389" s="2" t="s">
        <v>755</v>
      </c>
      <c r="C389" s="1" t="s">
        <v>1180</v>
      </c>
      <c r="D389" s="2" t="s">
        <v>811</v>
      </c>
    </row>
    <row r="390" spans="1:9" x14ac:dyDescent="0.25">
      <c r="D390" s="2" t="str">
        <f t="shared" si="33"/>
        <v/>
      </c>
      <c r="E390" s="28" t="s">
        <v>59</v>
      </c>
      <c r="F390" s="28" t="s">
        <v>63</v>
      </c>
      <c r="G390" s="28" t="s">
        <v>60</v>
      </c>
      <c r="H390" s="100" t="s">
        <v>1404</v>
      </c>
      <c r="I390" s="100" t="s">
        <v>1405</v>
      </c>
    </row>
    <row r="391" spans="1:9" x14ac:dyDescent="0.25">
      <c r="A391" s="57" t="s">
        <v>1400</v>
      </c>
      <c r="B391" s="2" t="s">
        <v>766</v>
      </c>
      <c r="C391" s="1" t="s">
        <v>1181</v>
      </c>
      <c r="D391" s="2" t="s">
        <v>811</v>
      </c>
      <c r="E391" s="2" t="s">
        <v>761</v>
      </c>
      <c r="F391" s="2" t="s">
        <v>776</v>
      </c>
      <c r="G391" s="2" t="s">
        <v>1328</v>
      </c>
      <c r="H391" s="54">
        <f t="shared" ref="H391:H395" si="35">LEN(G391)</f>
        <v>270</v>
      </c>
      <c r="I391" s="54">
        <v>896</v>
      </c>
    </row>
    <row r="392" spans="1:9" x14ac:dyDescent="0.25">
      <c r="B392" s="2" t="s">
        <v>767</v>
      </c>
      <c r="C392" s="1" t="s">
        <v>1327</v>
      </c>
      <c r="D392" s="2" t="s">
        <v>811</v>
      </c>
      <c r="E392" s="2" t="s">
        <v>762</v>
      </c>
      <c r="F392" s="2" t="s">
        <v>777</v>
      </c>
      <c r="G392" s="2" t="s">
        <v>1324</v>
      </c>
      <c r="H392" s="54">
        <f t="shared" si="35"/>
        <v>270</v>
      </c>
      <c r="I392" s="54">
        <v>897</v>
      </c>
    </row>
    <row r="393" spans="1:9" x14ac:dyDescent="0.25">
      <c r="A393" s="140" t="s">
        <v>1401</v>
      </c>
      <c r="B393" s="2" t="s">
        <v>768</v>
      </c>
      <c r="C393" s="1" t="s">
        <v>1182</v>
      </c>
      <c r="D393" s="2" t="s">
        <v>811</v>
      </c>
      <c r="E393" s="2" t="s">
        <v>763</v>
      </c>
      <c r="F393" s="2" t="s">
        <v>778</v>
      </c>
      <c r="G393" s="2" t="s">
        <v>1330</v>
      </c>
      <c r="H393" s="54">
        <f t="shared" si="35"/>
        <v>270</v>
      </c>
      <c r="I393" s="54">
        <v>896</v>
      </c>
    </row>
    <row r="394" spans="1:9" x14ac:dyDescent="0.25">
      <c r="A394" s="140"/>
      <c r="B394" s="2" t="s">
        <v>769</v>
      </c>
      <c r="C394" s="1" t="s">
        <v>1183</v>
      </c>
      <c r="D394" s="2" t="s">
        <v>811</v>
      </c>
      <c r="E394" s="2" t="s">
        <v>764</v>
      </c>
      <c r="F394" s="2" t="s">
        <v>779</v>
      </c>
      <c r="G394" s="2" t="s">
        <v>1325</v>
      </c>
      <c r="H394" s="54">
        <f t="shared" si="35"/>
        <v>270</v>
      </c>
      <c r="I394" s="54">
        <v>895</v>
      </c>
    </row>
    <row r="395" spans="1:9" x14ac:dyDescent="0.25">
      <c r="B395" s="2" t="s">
        <v>770</v>
      </c>
      <c r="C395" s="1" t="s">
        <v>1184</v>
      </c>
      <c r="D395" s="2" t="s">
        <v>811</v>
      </c>
      <c r="E395" s="2" t="s">
        <v>765</v>
      </c>
      <c r="F395" s="2" t="s">
        <v>780</v>
      </c>
      <c r="G395" s="2" t="s">
        <v>1326</v>
      </c>
      <c r="H395" s="54">
        <f t="shared" si="35"/>
        <v>270</v>
      </c>
      <c r="I395" s="54">
        <v>897</v>
      </c>
    </row>
    <row r="396" spans="1:9" x14ac:dyDescent="0.25">
      <c r="B396" s="2" t="s">
        <v>771</v>
      </c>
      <c r="C396" s="1" t="s">
        <v>1329</v>
      </c>
      <c r="D396" s="2" t="s">
        <v>811</v>
      </c>
    </row>
    <row r="397" spans="1:9" x14ac:dyDescent="0.25">
      <c r="B397" s="2" t="s">
        <v>772</v>
      </c>
      <c r="C397" s="1" t="s">
        <v>1185</v>
      </c>
      <c r="D397" s="2" t="s">
        <v>811</v>
      </c>
    </row>
    <row r="398" spans="1:9" x14ac:dyDescent="0.25">
      <c r="B398" s="2" t="s">
        <v>773</v>
      </c>
      <c r="C398" s="1" t="s">
        <v>1186</v>
      </c>
      <c r="D398" s="2" t="s">
        <v>811</v>
      </c>
    </row>
    <row r="399" spans="1:9" x14ac:dyDescent="0.25">
      <c r="B399" s="2" t="s">
        <v>774</v>
      </c>
      <c r="C399" s="1" t="s">
        <v>1187</v>
      </c>
      <c r="D399" s="2" t="s">
        <v>811</v>
      </c>
    </row>
    <row r="400" spans="1:9" x14ac:dyDescent="0.25">
      <c r="B400" s="2" t="s">
        <v>775</v>
      </c>
      <c r="C400" s="1" t="s">
        <v>1188</v>
      </c>
      <c r="D400" s="2" t="s">
        <v>811</v>
      </c>
    </row>
    <row r="401" spans="1:9" x14ac:dyDescent="0.25">
      <c r="D401" s="2" t="str">
        <f t="shared" si="33"/>
        <v/>
      </c>
      <c r="E401" s="28" t="s">
        <v>59</v>
      </c>
      <c r="F401" s="28" t="s">
        <v>63</v>
      </c>
      <c r="G401" s="28" t="s">
        <v>60</v>
      </c>
      <c r="H401" s="100" t="s">
        <v>1404</v>
      </c>
      <c r="I401" s="100" t="s">
        <v>1405</v>
      </c>
    </row>
    <row r="402" spans="1:9" x14ac:dyDescent="0.25">
      <c r="A402" s="57" t="s">
        <v>1400</v>
      </c>
      <c r="B402" s="2" t="s">
        <v>786</v>
      </c>
      <c r="C402" s="1" t="s">
        <v>1198</v>
      </c>
      <c r="D402" s="2" t="s">
        <v>811</v>
      </c>
      <c r="E402" s="2" t="s">
        <v>781</v>
      </c>
      <c r="F402" s="2" t="s">
        <v>796</v>
      </c>
      <c r="G402" s="2" t="s">
        <v>1331</v>
      </c>
      <c r="H402" s="54">
        <f t="shared" ref="H402:H406" si="36">LEN(G402)</f>
        <v>310</v>
      </c>
      <c r="I402" s="54">
        <v>1030</v>
      </c>
    </row>
    <row r="403" spans="1:9" x14ac:dyDescent="0.25">
      <c r="B403" s="2" t="s">
        <v>787</v>
      </c>
      <c r="C403" s="1" t="s">
        <v>1189</v>
      </c>
      <c r="D403" s="2" t="s">
        <v>811</v>
      </c>
      <c r="E403" s="2" t="s">
        <v>782</v>
      </c>
      <c r="F403" s="2" t="s">
        <v>797</v>
      </c>
      <c r="G403" s="2" t="s">
        <v>1332</v>
      </c>
      <c r="H403" s="54">
        <f t="shared" si="36"/>
        <v>310</v>
      </c>
      <c r="I403" s="54">
        <v>1029</v>
      </c>
    </row>
    <row r="404" spans="1:9" x14ac:dyDescent="0.25">
      <c r="A404" s="140" t="s">
        <v>1401</v>
      </c>
      <c r="B404" s="2" t="s">
        <v>788</v>
      </c>
      <c r="C404" s="1" t="s">
        <v>1190</v>
      </c>
      <c r="D404" s="2" t="s">
        <v>811</v>
      </c>
      <c r="E404" s="2" t="s">
        <v>783</v>
      </c>
      <c r="F404" s="2" t="s">
        <v>798</v>
      </c>
      <c r="G404" s="2" t="s">
        <v>1333</v>
      </c>
      <c r="H404" s="54">
        <f t="shared" si="36"/>
        <v>310</v>
      </c>
      <c r="I404" s="54">
        <v>1027</v>
      </c>
    </row>
    <row r="405" spans="1:9" x14ac:dyDescent="0.25">
      <c r="A405" s="140"/>
      <c r="B405" s="2" t="s">
        <v>789</v>
      </c>
      <c r="C405" s="1" t="s">
        <v>1191</v>
      </c>
      <c r="D405" s="2" t="s">
        <v>811</v>
      </c>
      <c r="E405" s="2" t="s">
        <v>784</v>
      </c>
      <c r="F405" s="2" t="s">
        <v>799</v>
      </c>
      <c r="G405" s="2" t="s">
        <v>1334</v>
      </c>
      <c r="H405" s="54">
        <f t="shared" si="36"/>
        <v>310</v>
      </c>
      <c r="I405" s="54">
        <v>1029</v>
      </c>
    </row>
    <row r="406" spans="1:9" x14ac:dyDescent="0.25">
      <c r="B406" s="2" t="s">
        <v>790</v>
      </c>
      <c r="C406" s="1" t="s">
        <v>1192</v>
      </c>
      <c r="D406" s="2" t="s">
        <v>811</v>
      </c>
      <c r="E406" s="2" t="s">
        <v>785</v>
      </c>
      <c r="F406" s="2" t="s">
        <v>800</v>
      </c>
      <c r="G406" s="2" t="s">
        <v>1335</v>
      </c>
      <c r="H406" s="54">
        <f t="shared" si="36"/>
        <v>310</v>
      </c>
      <c r="I406" s="54">
        <v>1029</v>
      </c>
    </row>
    <row r="407" spans="1:9" x14ac:dyDescent="0.25">
      <c r="B407" s="2" t="s">
        <v>791</v>
      </c>
      <c r="C407" s="1" t="s">
        <v>1193</v>
      </c>
      <c r="D407" s="2" t="s">
        <v>811</v>
      </c>
    </row>
    <row r="408" spans="1:9" x14ac:dyDescent="0.25">
      <c r="B408" s="2" t="s">
        <v>792</v>
      </c>
      <c r="C408" s="1" t="s">
        <v>1194</v>
      </c>
      <c r="D408" s="2" t="s">
        <v>811</v>
      </c>
    </row>
    <row r="409" spans="1:9" x14ac:dyDescent="0.25">
      <c r="B409" s="2" t="s">
        <v>793</v>
      </c>
      <c r="C409" s="1" t="s">
        <v>1195</v>
      </c>
      <c r="D409" s="2" t="s">
        <v>811</v>
      </c>
    </row>
    <row r="410" spans="1:9" x14ac:dyDescent="0.25">
      <c r="B410" s="2" t="s">
        <v>794</v>
      </c>
      <c r="C410" s="1" t="s">
        <v>1196</v>
      </c>
      <c r="D410" s="2" t="s">
        <v>811</v>
      </c>
    </row>
    <row r="411" spans="1:9" x14ac:dyDescent="0.25">
      <c r="B411" s="2" t="s">
        <v>795</v>
      </c>
      <c r="C411" s="1" t="s">
        <v>1197</v>
      </c>
      <c r="D411" s="2" t="s">
        <v>811</v>
      </c>
    </row>
    <row r="412" spans="1:9" x14ac:dyDescent="0.25">
      <c r="D412" s="2" t="str">
        <f t="shared" si="33"/>
        <v/>
      </c>
      <c r="E412" s="28" t="s">
        <v>59</v>
      </c>
      <c r="F412" s="28" t="s">
        <v>63</v>
      </c>
      <c r="G412" s="28" t="s">
        <v>60</v>
      </c>
      <c r="H412" s="100" t="s">
        <v>1404</v>
      </c>
      <c r="I412" s="100" t="s">
        <v>1405</v>
      </c>
    </row>
    <row r="413" spans="1:9" x14ac:dyDescent="0.25">
      <c r="A413" s="57" t="s">
        <v>1400</v>
      </c>
      <c r="B413" s="2" t="s">
        <v>142</v>
      </c>
      <c r="C413" s="1" t="s">
        <v>1199</v>
      </c>
      <c r="D413" s="2" t="s">
        <v>811</v>
      </c>
      <c r="E413" s="2" t="s">
        <v>152</v>
      </c>
      <c r="F413" s="2" t="s">
        <v>157</v>
      </c>
      <c r="G413" s="2" t="s">
        <v>1336</v>
      </c>
      <c r="H413" s="54">
        <f t="shared" ref="H413:H417" si="37">LEN(G413)</f>
        <v>320</v>
      </c>
      <c r="I413" s="54">
        <v>1062</v>
      </c>
    </row>
    <row r="414" spans="1:9" x14ac:dyDescent="0.25">
      <c r="B414" s="2" t="s">
        <v>143</v>
      </c>
      <c r="C414" s="1" t="s">
        <v>1200</v>
      </c>
      <c r="D414" s="2" t="s">
        <v>811</v>
      </c>
      <c r="E414" s="2" t="s">
        <v>153</v>
      </c>
      <c r="F414" s="2" t="s">
        <v>158</v>
      </c>
      <c r="G414" s="2" t="s">
        <v>1341</v>
      </c>
      <c r="H414" s="54">
        <f t="shared" si="37"/>
        <v>320</v>
      </c>
      <c r="I414" s="54">
        <v>1063</v>
      </c>
    </row>
    <row r="415" spans="1:9" x14ac:dyDescent="0.25">
      <c r="A415" s="140" t="s">
        <v>1401</v>
      </c>
      <c r="B415" s="2" t="s">
        <v>144</v>
      </c>
      <c r="C415" s="1" t="s">
        <v>1340</v>
      </c>
      <c r="D415" s="2" t="s">
        <v>811</v>
      </c>
      <c r="E415" s="2" t="s">
        <v>154</v>
      </c>
      <c r="F415" s="2" t="s">
        <v>159</v>
      </c>
      <c r="G415" s="2" t="s">
        <v>1337</v>
      </c>
      <c r="H415" s="54">
        <f t="shared" si="37"/>
        <v>320</v>
      </c>
      <c r="I415" s="54">
        <v>1062</v>
      </c>
    </row>
    <row r="416" spans="1:9" x14ac:dyDescent="0.25">
      <c r="A416" s="140"/>
      <c r="B416" s="2" t="s">
        <v>145</v>
      </c>
      <c r="C416" s="1" t="s">
        <v>1201</v>
      </c>
      <c r="D416" s="2" t="s">
        <v>811</v>
      </c>
      <c r="E416" s="2" t="s">
        <v>155</v>
      </c>
      <c r="F416" s="2" t="s">
        <v>160</v>
      </c>
      <c r="G416" s="2" t="s">
        <v>1338</v>
      </c>
      <c r="H416" s="54">
        <f t="shared" si="37"/>
        <v>320</v>
      </c>
      <c r="I416" s="54">
        <v>1060</v>
      </c>
    </row>
    <row r="417" spans="2:9" x14ac:dyDescent="0.25">
      <c r="B417" s="2" t="s">
        <v>146</v>
      </c>
      <c r="C417" s="1" t="s">
        <v>1202</v>
      </c>
      <c r="D417" s="2" t="s">
        <v>811</v>
      </c>
      <c r="E417" s="2" t="s">
        <v>156</v>
      </c>
      <c r="F417" s="2" t="s">
        <v>161</v>
      </c>
      <c r="G417" s="2" t="s">
        <v>1339</v>
      </c>
      <c r="H417" s="54">
        <f t="shared" si="37"/>
        <v>320</v>
      </c>
      <c r="I417" s="54">
        <v>1062</v>
      </c>
    </row>
    <row r="418" spans="2:9" x14ac:dyDescent="0.25">
      <c r="B418" s="2" t="s">
        <v>147</v>
      </c>
      <c r="C418" s="1" t="s">
        <v>1203</v>
      </c>
      <c r="D418" s="2" t="s">
        <v>811</v>
      </c>
    </row>
    <row r="419" spans="2:9" x14ac:dyDescent="0.25">
      <c r="B419" s="2" t="s">
        <v>148</v>
      </c>
      <c r="C419" s="1" t="s">
        <v>1204</v>
      </c>
      <c r="D419" s="2" t="s">
        <v>811</v>
      </c>
    </row>
    <row r="420" spans="2:9" x14ac:dyDescent="0.25">
      <c r="B420" s="2" t="s">
        <v>149</v>
      </c>
      <c r="C420" s="1" t="s">
        <v>1205</v>
      </c>
      <c r="D420" s="2" t="s">
        <v>811</v>
      </c>
    </row>
    <row r="421" spans="2:9" x14ac:dyDescent="0.25">
      <c r="B421" s="2" t="s">
        <v>150</v>
      </c>
      <c r="C421" s="1" t="s">
        <v>1206</v>
      </c>
      <c r="D421" s="2" t="s">
        <v>811</v>
      </c>
    </row>
    <row r="422" spans="2:9" x14ac:dyDescent="0.25">
      <c r="B422" s="2" t="s">
        <v>151</v>
      </c>
      <c r="C422" s="1" t="s">
        <v>1207</v>
      </c>
      <c r="D422" s="2" t="s">
        <v>811</v>
      </c>
    </row>
  </sheetData>
  <mergeCells count="37">
    <mergeCell ref="A228:A229"/>
    <mergeCell ref="A349:A350"/>
    <mergeCell ref="A360:A361"/>
    <mergeCell ref="A371:A372"/>
    <mergeCell ref="A382:A383"/>
    <mergeCell ref="A283:A284"/>
    <mergeCell ref="A294:A295"/>
    <mergeCell ref="A305:A306"/>
    <mergeCell ref="A316:A317"/>
    <mergeCell ref="A327:A328"/>
    <mergeCell ref="A338:A339"/>
    <mergeCell ref="A415:A416"/>
    <mergeCell ref="A272:A273"/>
    <mergeCell ref="A261:A262"/>
    <mergeCell ref="A250:A251"/>
    <mergeCell ref="A239:A240"/>
    <mergeCell ref="A393:A394"/>
    <mergeCell ref="A404:A405"/>
    <mergeCell ref="A96:A97"/>
    <mergeCell ref="A217:A218"/>
    <mergeCell ref="A206:A207"/>
    <mergeCell ref="A195:A196"/>
    <mergeCell ref="A184:A185"/>
    <mergeCell ref="A173:A174"/>
    <mergeCell ref="A162:A163"/>
    <mergeCell ref="A151:A152"/>
    <mergeCell ref="A140:A141"/>
    <mergeCell ref="A129:A130"/>
    <mergeCell ref="A118:A119"/>
    <mergeCell ref="A107:A108"/>
    <mergeCell ref="A19:A20"/>
    <mergeCell ref="A85:A86"/>
    <mergeCell ref="A74:A75"/>
    <mergeCell ref="A63:A64"/>
    <mergeCell ref="A52:A53"/>
    <mergeCell ref="A41:A42"/>
    <mergeCell ref="A30:A31"/>
  </mergeCells>
  <hyperlinks>
    <hyperlink ref="C2" location="Contents!A1" display="Contents"/>
    <hyperlink ref="B2" location="'c320'!A1" display="Prev"/>
    <hyperlink ref="D2" location="References!A1" display="Next"/>
    <hyperlink ref="A17" location="'Index of Integers'!A1" display="Top"/>
    <hyperlink ref="A28" location="'Index of Integers'!A1" display="Top"/>
    <hyperlink ref="A39" location="'Index of Integers'!A1" display="Top"/>
    <hyperlink ref="A50" location="'Index of Integers'!A1" display="Top"/>
    <hyperlink ref="A61" location="'Index of Integers'!A1" display="Top"/>
    <hyperlink ref="A72" location="'Index of Integers'!A1" display="Top"/>
    <hyperlink ref="A83" location="'Index of Integers'!A1" display="Top"/>
    <hyperlink ref="A94" location="'Index of Integers'!A1" display="Top"/>
    <hyperlink ref="A105" location="'Index of Integers'!A1" display="Top"/>
    <hyperlink ref="A116" location="'Index of Integers'!A1" display="Top"/>
    <hyperlink ref="A127" location="'Index of Integers'!A1" display="Top"/>
    <hyperlink ref="A138" location="'Index of Integers'!A1" display="Top"/>
    <hyperlink ref="A149" location="'Index of Integers'!A1" display="Top"/>
    <hyperlink ref="A160" location="'Index of Integers'!A1" display="Top"/>
    <hyperlink ref="A171" location="'Index of Integers'!A1" display="Top"/>
    <hyperlink ref="A182" location="'Index of Integers'!A1" display="Top"/>
    <hyperlink ref="A193" location="'Index of Integers'!A1" display="Top"/>
    <hyperlink ref="A204" location="'Index of Integers'!A1" display="Top"/>
    <hyperlink ref="A215" location="'Index of Integers'!A1" display="Top"/>
    <hyperlink ref="A226" location="'Index of Integers'!A1" display="Top"/>
    <hyperlink ref="A237" location="'Index of Integers'!A1" display="Top"/>
    <hyperlink ref="A248" location="'Index of Integers'!A1" display="Top"/>
    <hyperlink ref="A259" location="'Index of Integers'!A1" display="Top"/>
    <hyperlink ref="A270" location="'Index of Integers'!A1" display="Top"/>
    <hyperlink ref="A281" location="'Index of Integers'!A1" display="Top"/>
    <hyperlink ref="A292" location="'Index of Integers'!A1" display="Top"/>
    <hyperlink ref="A303" location="'Index of Integers'!A1" display="Top"/>
    <hyperlink ref="A314" location="'Index of Integers'!A1" display="Top"/>
    <hyperlink ref="A325" location="'Index of Integers'!A1" display="Top"/>
    <hyperlink ref="A347" location="'Index of Integers'!A1" display="Top"/>
    <hyperlink ref="A358" location="'Index of Integers'!A1" display="Top"/>
    <hyperlink ref="A369" location="'Index of Integers'!A1" display="Top"/>
    <hyperlink ref="A380" location="'Index of Integers'!A1" display="Top"/>
    <hyperlink ref="A391" location="'Index of Integers'!A1" display="Top"/>
    <hyperlink ref="A402" location="'Index of Integers'!A1" display="Top"/>
    <hyperlink ref="A413" location="'Index of Integers'!A1" display="Top"/>
    <hyperlink ref="B4" location="'Index of Integers'!A17" display="c30"/>
    <hyperlink ref="B5" location="'Index of Integers'!A28" display="c60"/>
    <hyperlink ref="B6" location="'Index of Integers'!A39" display="c65"/>
    <hyperlink ref="B7" location="'Index of Integers'!A50" display="c70"/>
    <hyperlink ref="B8" location="'Index of Integers'!A61" display="c75"/>
    <hyperlink ref="B9" location="'Index of Integers'!A72" display="c80"/>
    <hyperlink ref="B10" location="'Index of Integers'!A83" display="c85"/>
    <hyperlink ref="B11" location="'Index of Integers'!A94" display="c90"/>
    <hyperlink ref="B12" location="'Index of Integers'!A105" display="c95"/>
    <hyperlink ref="B13" location="'Index of Integers'!A116" display="c100"/>
    <hyperlink ref="C4" location="'Index of Integers'!A127" display="c105"/>
    <hyperlink ref="C5" location="'Index of Integers'!A138" display="c110"/>
    <hyperlink ref="C6" location="'Index of Integers'!A149" display="c115"/>
    <hyperlink ref="C7" location="'Index of Integers'!A160" display="c120"/>
    <hyperlink ref="C8" location="'Index of Integers'!A171" display="c125"/>
    <hyperlink ref="C9" location="'Index of Integers'!A182" display="c130"/>
    <hyperlink ref="C10" location="'Index of Integers'!A193" display="c135"/>
    <hyperlink ref="C11" location="'Index of Integers'!A204" display="c140"/>
    <hyperlink ref="C12" location="'Index of Integers'!A215" display="c145"/>
    <hyperlink ref="C13" location="'Index of Integers'!A226" display="c150"/>
    <hyperlink ref="D4" location="'Index of Integers'!A237" display="c155"/>
    <hyperlink ref="D5" location="'Index of Integers'!A248" display="c160"/>
    <hyperlink ref="D6" location="'Index of Integers'!A259" display="c165"/>
    <hyperlink ref="D7" location="'Index of Integers'!A270" display="c170"/>
    <hyperlink ref="D8" location="'Index of Integers'!A281" display="c175"/>
    <hyperlink ref="D9" location="'Index of Integers'!A292" display="c180"/>
    <hyperlink ref="D10" location="'Index of Integers'!A303" display="c185"/>
    <hyperlink ref="D11" location="'Index of Integers'!A314" display="c190"/>
    <hyperlink ref="D12" location="'Index of Integers'!A325" display="c195"/>
    <hyperlink ref="D13" location="'Index of Integers'!A336" display="c200"/>
    <hyperlink ref="E4" location="'Index of Integers'!A347" display="c205"/>
    <hyperlink ref="E5" location="'Index of Integers'!A358" display="c210"/>
    <hyperlink ref="E6" location="'Index of Integers'!A369" display="c220"/>
    <hyperlink ref="E7" location="'Index of Integers'!A380" display="c230"/>
    <hyperlink ref="E8" location="'Index of Integers'!A391" display="c270"/>
    <hyperlink ref="E9" location="'Index of Integers'!A402" display="c310"/>
    <hyperlink ref="E10" location="'Index of Integers'!A413" display="c320"/>
    <hyperlink ref="A283:A284" location="'c175'!A1" display="Factor page"/>
    <hyperlink ref="A294:A295" location="'c180'!A1" display="Factor page"/>
    <hyperlink ref="A305:A306" location="'c185'!A1" display="Factor page"/>
    <hyperlink ref="A316:A317" location="'c190'!A1" display="Factor page"/>
    <hyperlink ref="A327:A328" location="'c195'!A1" display="Factor page"/>
    <hyperlink ref="A349:A350" location="'c205'!A1" display="Factor page"/>
    <hyperlink ref="A360:A361" location="'c210'!A1" display="Factor page"/>
    <hyperlink ref="A371:A372" location="'c220'!A1" display="Factor page"/>
    <hyperlink ref="A382:A383" location="'c230'!A1" display="Factor page"/>
    <hyperlink ref="A393:A394" location="'c270'!A1" display="Factor page"/>
    <hyperlink ref="A404:A405" location="'c310'!A1" display="Factor page"/>
    <hyperlink ref="A415:A416" location="'c320'!A1" display="Factor page"/>
    <hyperlink ref="A272:A273" location="'c170'!A1" display="Factor page"/>
    <hyperlink ref="A261:A262" location="'c165'!A1" display="Factor page"/>
    <hyperlink ref="A250:A251" location="'c160'!A1" display="Factor page"/>
    <hyperlink ref="A239:A240" location="'c155'!A1" display="Factor page"/>
    <hyperlink ref="A228:A229" location="'c150'!A1" display="Factor page"/>
    <hyperlink ref="A217:A218" location="'c145'!A1" display="Factor page"/>
    <hyperlink ref="A206:A207" location="'c140'!A1" display="Factor page"/>
    <hyperlink ref="A195:A196" location="'c135'!A1" display="Factor page"/>
    <hyperlink ref="A184:A185" location="'c130'!A1" display="Factor page"/>
    <hyperlink ref="A173:A174" location="'c125'!A1" display="Factor page"/>
    <hyperlink ref="A162:A163" location="'c120'!A1" display="Factor page"/>
    <hyperlink ref="A151:A152" location="'c115'!A1" display="Factor page"/>
    <hyperlink ref="A140:A141" location="'c110'!A1" display="Factor page"/>
    <hyperlink ref="A129:A130" location="'c105'!A1" display="Factor page"/>
    <hyperlink ref="A118:A119" location="'c100'!A1" display="Factor page"/>
    <hyperlink ref="A107:A108" location="'c95'!A1" display="Factor page"/>
    <hyperlink ref="A96:A97" location="'c90'!A1" display="Factor page"/>
    <hyperlink ref="A85:A86" location="'c85'!A1" display="Factor page"/>
    <hyperlink ref="A74:A75" location="'c80'!A1" display="Factor page"/>
    <hyperlink ref="A63:A64" location="'c75'!A1" display="Factor page"/>
    <hyperlink ref="A52:A53" location="'c70'!A1" display="Factor page"/>
    <hyperlink ref="A41:A42" location="'c65'!A1" display="Factor page"/>
    <hyperlink ref="A30:A31" location="'c60'!A1" display="Factor page"/>
    <hyperlink ref="A19:A20" location="'c30'!A1" display="Factor page"/>
    <hyperlink ref="A338:A339" location="'c200'!A1" display="Factor page"/>
    <hyperlink ref="A336" location="'Index of Integers'!A1" display="Top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24"/>
  <sheetViews>
    <sheetView zoomScaleNormal="100" workbookViewId="0">
      <selection activeCell="F11" sqref="F11"/>
    </sheetView>
  </sheetViews>
  <sheetFormatPr defaultColWidth="8.85546875" defaultRowHeight="15" x14ac:dyDescent="0.25"/>
  <cols>
    <col min="1" max="1" width="3" style="2" bestFit="1" customWidth="1"/>
    <col min="2" max="2" width="3.5703125" style="2" bestFit="1" customWidth="1"/>
    <col min="3" max="3" width="23" style="2" customWidth="1"/>
    <col min="4" max="4" width="0.85546875" style="84" hidden="1" customWidth="1"/>
    <col min="5" max="8" width="7.28515625" style="54" bestFit="1" customWidth="1"/>
    <col min="9" max="9" width="8.5703125" style="54" bestFit="1" customWidth="1"/>
    <col min="10" max="10" width="7.28515625" style="54" bestFit="1" customWidth="1"/>
    <col min="11" max="13" width="8.5703125" style="54" bestFit="1" customWidth="1"/>
    <col min="14" max="15" width="9.7109375" style="54" bestFit="1" customWidth="1"/>
    <col min="16" max="16" width="9.140625" style="54" bestFit="1" customWidth="1"/>
    <col min="17" max="17" width="9.7109375" style="54" bestFit="1" customWidth="1"/>
    <col min="18" max="18" width="8.5703125" style="54" bestFit="1" customWidth="1"/>
    <col min="19" max="20" width="9.7109375" style="54" bestFit="1" customWidth="1"/>
    <col min="21" max="21" width="11" style="54" bestFit="1" customWidth="1"/>
    <col min="22" max="25" width="8.5703125" style="54" bestFit="1" customWidth="1"/>
    <col min="26" max="28" width="9.7109375" style="54" bestFit="1" customWidth="1"/>
    <col min="29" max="29" width="11" style="54" bestFit="1" customWidth="1"/>
    <col min="30" max="30" width="9.7109375" style="54" bestFit="1" customWidth="1"/>
    <col min="31" max="31" width="12.28515625" style="54" bestFit="1" customWidth="1"/>
    <col min="32" max="35" width="11" style="54" bestFit="1" customWidth="1"/>
    <col min="36" max="41" width="12.28515625" style="54" bestFit="1" customWidth="1"/>
    <col min="42" max="16384" width="8.85546875" style="2"/>
  </cols>
  <sheetData>
    <row r="2" spans="2:42" s="33" customFormat="1" x14ac:dyDescent="0.25">
      <c r="D2" s="85"/>
      <c r="E2" s="59" t="s">
        <v>0</v>
      </c>
      <c r="F2" s="59" t="s">
        <v>1</v>
      </c>
      <c r="G2" s="59" t="s">
        <v>2</v>
      </c>
      <c r="H2" s="59" t="s">
        <v>3</v>
      </c>
      <c r="I2" s="59" t="s">
        <v>4</v>
      </c>
      <c r="J2" s="59" t="s">
        <v>5</v>
      </c>
      <c r="K2" s="59" t="s">
        <v>6</v>
      </c>
      <c r="L2" s="59" t="s">
        <v>7</v>
      </c>
      <c r="M2" s="59" t="s">
        <v>8</v>
      </c>
      <c r="N2" s="59" t="s">
        <v>9</v>
      </c>
      <c r="O2" s="59" t="s">
        <v>10</v>
      </c>
      <c r="P2" s="59" t="s">
        <v>11</v>
      </c>
      <c r="Q2" s="59" t="s">
        <v>12</v>
      </c>
      <c r="R2" s="59" t="s">
        <v>13</v>
      </c>
      <c r="S2" s="59" t="s">
        <v>14</v>
      </c>
      <c r="T2" s="59" t="s">
        <v>15</v>
      </c>
      <c r="U2" s="59" t="s">
        <v>16</v>
      </c>
      <c r="V2" s="59" t="s">
        <v>17</v>
      </c>
      <c r="W2" s="59" t="s">
        <v>18</v>
      </c>
      <c r="X2" s="59" t="s">
        <v>19</v>
      </c>
      <c r="Y2" s="59" t="s">
        <v>20</v>
      </c>
      <c r="Z2" s="59" t="s">
        <v>21</v>
      </c>
      <c r="AA2" s="59" t="s">
        <v>22</v>
      </c>
      <c r="AB2" s="59" t="s">
        <v>23</v>
      </c>
      <c r="AC2" s="59" t="s">
        <v>24</v>
      </c>
      <c r="AD2" s="59" t="s">
        <v>25</v>
      </c>
      <c r="AE2" s="59" t="s">
        <v>26</v>
      </c>
      <c r="AF2" s="59" t="s">
        <v>27</v>
      </c>
      <c r="AG2" s="59" t="s">
        <v>28</v>
      </c>
      <c r="AH2" s="59" t="s">
        <v>29</v>
      </c>
      <c r="AI2" s="59" t="s">
        <v>30</v>
      </c>
      <c r="AJ2" s="59" t="s">
        <v>31</v>
      </c>
      <c r="AK2" s="59" t="s">
        <v>32</v>
      </c>
      <c r="AL2" s="59" t="s">
        <v>33</v>
      </c>
      <c r="AM2" s="59" t="s">
        <v>34</v>
      </c>
      <c r="AN2" s="59" t="s">
        <v>35</v>
      </c>
      <c r="AO2" s="59" t="s">
        <v>36</v>
      </c>
    </row>
    <row r="3" spans="2:42" x14ac:dyDescent="0.25">
      <c r="B3" s="146" t="s">
        <v>40</v>
      </c>
      <c r="C3" s="20" t="s">
        <v>1397</v>
      </c>
      <c r="D3" s="86"/>
    </row>
    <row r="4" spans="2:42" x14ac:dyDescent="0.25">
      <c r="B4" s="146"/>
      <c r="C4" s="21" t="s">
        <v>1368</v>
      </c>
      <c r="D4" s="87" t="s">
        <v>1408</v>
      </c>
      <c r="E4" s="96">
        <f>'c30'!F6</f>
        <v>0</v>
      </c>
      <c r="F4" s="96">
        <f t="shared" ref="F4:AO4" ca="1" si="0">INDIRECT(CONCATENATE("'",F$2,"'!",$D4))</f>
        <v>0</v>
      </c>
      <c r="G4" s="96">
        <f t="shared" ca="1" si="0"/>
        <v>0</v>
      </c>
      <c r="H4" s="96">
        <f t="shared" ca="1" si="0"/>
        <v>0</v>
      </c>
      <c r="I4" s="96">
        <f t="shared" ca="1" si="0"/>
        <v>0</v>
      </c>
      <c r="J4" s="96">
        <f t="shared" ca="1" si="0"/>
        <v>0</v>
      </c>
      <c r="K4" s="96">
        <f t="shared" ca="1" si="0"/>
        <v>0</v>
      </c>
      <c r="L4" s="96">
        <f t="shared" ca="1" si="0"/>
        <v>0</v>
      </c>
      <c r="M4" s="96">
        <f t="shared" ca="1" si="0"/>
        <v>0</v>
      </c>
      <c r="N4" s="96">
        <f t="shared" ca="1" si="0"/>
        <v>0</v>
      </c>
      <c r="O4" s="96">
        <f t="shared" ca="1" si="0"/>
        <v>0</v>
      </c>
      <c r="P4" s="96">
        <f t="shared" ca="1" si="0"/>
        <v>0</v>
      </c>
      <c r="Q4" s="96">
        <f t="shared" ca="1" si="0"/>
        <v>0</v>
      </c>
      <c r="R4" s="96">
        <f t="shared" ca="1" si="0"/>
        <v>0</v>
      </c>
      <c r="S4" s="96">
        <f t="shared" ca="1" si="0"/>
        <v>0</v>
      </c>
      <c r="T4" s="96">
        <f t="shared" ca="1" si="0"/>
        <v>0</v>
      </c>
      <c r="U4" s="96">
        <f t="shared" ca="1" si="0"/>
        <v>0</v>
      </c>
      <c r="V4" s="96">
        <f t="shared" ca="1" si="0"/>
        <v>0</v>
      </c>
      <c r="W4" s="96">
        <f t="shared" ca="1" si="0"/>
        <v>0</v>
      </c>
      <c r="X4" s="96">
        <f t="shared" ca="1" si="0"/>
        <v>0</v>
      </c>
      <c r="Y4" s="96">
        <f t="shared" ca="1" si="0"/>
        <v>0</v>
      </c>
      <c r="Z4" s="96">
        <f t="shared" ca="1" si="0"/>
        <v>0</v>
      </c>
      <c r="AA4" s="96">
        <f t="shared" ca="1" si="0"/>
        <v>0</v>
      </c>
      <c r="AB4" s="96">
        <f t="shared" ca="1" si="0"/>
        <v>0</v>
      </c>
      <c r="AC4" s="96">
        <f t="shared" ca="1" si="0"/>
        <v>0</v>
      </c>
      <c r="AD4" s="96">
        <f t="shared" ca="1" si="0"/>
        <v>0</v>
      </c>
      <c r="AE4" s="96">
        <f t="shared" ca="1" si="0"/>
        <v>0</v>
      </c>
      <c r="AF4" s="96">
        <f t="shared" ca="1" si="0"/>
        <v>0</v>
      </c>
      <c r="AG4" s="96">
        <f t="shared" ca="1" si="0"/>
        <v>0</v>
      </c>
      <c r="AH4" s="96">
        <f t="shared" ca="1" si="0"/>
        <v>0</v>
      </c>
      <c r="AI4" s="96">
        <f t="shared" ca="1" si="0"/>
        <v>0</v>
      </c>
      <c r="AJ4" s="96">
        <f t="shared" ca="1" si="0"/>
        <v>0</v>
      </c>
      <c r="AK4" s="96">
        <f t="shared" ca="1" si="0"/>
        <v>0</v>
      </c>
      <c r="AL4" s="96">
        <f t="shared" ca="1" si="0"/>
        <v>0</v>
      </c>
      <c r="AM4" s="96">
        <f t="shared" ca="1" si="0"/>
        <v>0</v>
      </c>
      <c r="AN4" s="96">
        <f t="shared" ca="1" si="0"/>
        <v>0</v>
      </c>
      <c r="AO4" s="96">
        <f t="shared" ca="1" si="0"/>
        <v>0</v>
      </c>
      <c r="AP4" s="54"/>
    </row>
    <row r="5" spans="2:42" x14ac:dyDescent="0.25">
      <c r="B5" s="146"/>
      <c r="C5" s="92" t="s">
        <v>1369</v>
      </c>
      <c r="D5" s="87" t="s">
        <v>1409</v>
      </c>
      <c r="E5" s="54">
        <f>'c30'!F7</f>
        <v>1000</v>
      </c>
      <c r="F5" s="54">
        <f t="shared" ref="F5:AK12" ca="1" si="1">INDIRECT(CONCATENATE("'",F$2,"'!",$D5))</f>
        <v>10000</v>
      </c>
      <c r="G5" s="54">
        <f t="shared" ca="1" si="1"/>
        <v>22000</v>
      </c>
      <c r="H5" s="54">
        <f t="shared" ca="1" si="1"/>
        <v>44000</v>
      </c>
      <c r="I5" s="54">
        <f t="shared" ca="1" si="1"/>
        <v>84000</v>
      </c>
      <c r="J5" s="54">
        <f t="shared" ca="1" si="1"/>
        <v>50000</v>
      </c>
      <c r="K5" s="54">
        <f t="shared" ca="1" si="1"/>
        <v>50000</v>
      </c>
      <c r="L5" s="123">
        <f t="shared" ca="1" si="1"/>
        <v>150000</v>
      </c>
      <c r="M5" s="123">
        <f t="shared" ca="1" si="1"/>
        <v>150000</v>
      </c>
      <c r="N5" s="123">
        <f t="shared" ca="1" si="1"/>
        <v>500000</v>
      </c>
      <c r="O5" s="123">
        <f t="shared" ca="1" si="1"/>
        <v>500000</v>
      </c>
      <c r="P5" s="123">
        <f t="shared" ca="1" si="1"/>
        <v>500000</v>
      </c>
      <c r="Q5" s="123">
        <f t="shared" ca="1" si="1"/>
        <v>1000000</v>
      </c>
      <c r="R5" s="123">
        <f t="shared" ca="1" si="1"/>
        <v>50000</v>
      </c>
      <c r="S5" s="123">
        <f t="shared" ca="1" si="1"/>
        <v>500000</v>
      </c>
      <c r="T5" s="123">
        <f t="shared" ca="1" si="1"/>
        <v>1000000</v>
      </c>
      <c r="U5" s="123">
        <f t="shared" ca="1" si="1"/>
        <v>200000</v>
      </c>
      <c r="V5" s="123">
        <f t="shared" ca="1" si="1"/>
        <v>400000</v>
      </c>
      <c r="W5" s="123">
        <f t="shared" ca="1" si="1"/>
        <v>500000</v>
      </c>
      <c r="X5" s="123">
        <f t="shared" ca="1" si="1"/>
        <v>400000</v>
      </c>
      <c r="Y5" s="123">
        <f t="shared" ca="1" si="1"/>
        <v>500000</v>
      </c>
      <c r="Z5" s="123">
        <f t="shared" ca="1" si="1"/>
        <v>1000000</v>
      </c>
      <c r="AA5" s="123">
        <f t="shared" ca="1" si="1"/>
        <v>2000000</v>
      </c>
      <c r="AB5" s="123">
        <f t="shared" ca="1" si="1"/>
        <v>3000000</v>
      </c>
      <c r="AC5" s="123">
        <f t="shared" ca="1" si="1"/>
        <v>20000000</v>
      </c>
      <c r="AD5" s="123">
        <f t="shared" ca="1" si="1"/>
        <v>5000000</v>
      </c>
      <c r="AE5" s="123">
        <f t="shared" ca="1" si="1"/>
        <v>300000000</v>
      </c>
      <c r="AF5" s="123">
        <f t="shared" ca="1" si="1"/>
        <v>30000000</v>
      </c>
      <c r="AG5" s="123">
        <f t="shared" ca="1" si="1"/>
        <v>50000000</v>
      </c>
      <c r="AH5" s="123">
        <f t="shared" ca="1" si="1"/>
        <v>10000000</v>
      </c>
      <c r="AI5" s="123">
        <f t="shared" ca="1" si="1"/>
        <v>50000000</v>
      </c>
      <c r="AJ5" s="123">
        <f t="shared" ca="1" si="1"/>
        <v>200000000</v>
      </c>
      <c r="AK5" s="123">
        <f t="shared" ca="1" si="1"/>
        <v>100000000</v>
      </c>
      <c r="AL5" s="123">
        <f t="shared" ref="AL5:AO12" ca="1" si="2">INDIRECT(CONCATENATE("'",AL$2,"'!",$D5))</f>
        <v>100000000</v>
      </c>
      <c r="AM5" s="123">
        <f t="shared" ca="1" si="2"/>
        <v>100000000</v>
      </c>
      <c r="AN5" s="123">
        <f t="shared" ca="1" si="2"/>
        <v>100000000</v>
      </c>
      <c r="AO5" s="123">
        <f t="shared" ca="1" si="2"/>
        <v>100000000</v>
      </c>
      <c r="AP5" s="54"/>
    </row>
    <row r="6" spans="2:42" x14ac:dyDescent="0.25">
      <c r="B6" s="146"/>
      <c r="C6" s="93" t="s">
        <v>1367</v>
      </c>
      <c r="D6" s="86" t="s">
        <v>1414</v>
      </c>
      <c r="E6" s="96">
        <f>'c30'!F8</f>
        <v>272</v>
      </c>
      <c r="F6" s="96">
        <f t="shared" ca="1" si="1"/>
        <v>420</v>
      </c>
      <c r="G6" s="96">
        <f t="shared" ca="1" si="1"/>
        <v>950</v>
      </c>
      <c r="H6" s="96">
        <f t="shared" ca="1" si="1"/>
        <v>1800</v>
      </c>
      <c r="I6" s="96">
        <f t="shared" ca="1" si="1"/>
        <v>3600</v>
      </c>
      <c r="J6" s="96">
        <f t="shared" ca="1" si="1"/>
        <v>10000</v>
      </c>
      <c r="K6" s="96">
        <f t="shared" ca="1" si="1"/>
        <v>10000</v>
      </c>
      <c r="L6" s="96">
        <f t="shared" ca="1" si="1"/>
        <v>10000</v>
      </c>
      <c r="M6" s="96">
        <f t="shared" ca="1" si="1"/>
        <v>10000</v>
      </c>
      <c r="N6" s="96">
        <f t="shared" ca="1" si="1"/>
        <v>10000</v>
      </c>
      <c r="O6" s="96">
        <f t="shared" ca="1" si="1"/>
        <v>10000</v>
      </c>
      <c r="P6" s="96">
        <f t="shared" ca="1" si="1"/>
        <v>10000</v>
      </c>
      <c r="Q6" s="96">
        <f t="shared" ca="1" si="1"/>
        <v>10000</v>
      </c>
      <c r="R6" s="96">
        <f t="shared" ca="1" si="1"/>
        <v>50000</v>
      </c>
      <c r="S6" s="96">
        <f t="shared" ca="1" si="1"/>
        <v>40000</v>
      </c>
      <c r="T6" s="96">
        <f t="shared" ca="1" si="1"/>
        <v>80000</v>
      </c>
      <c r="U6" s="124">
        <f t="shared" ca="1" si="1"/>
        <v>120000</v>
      </c>
      <c r="V6" s="124">
        <f t="shared" ca="1" si="1"/>
        <v>200000</v>
      </c>
      <c r="W6" s="124">
        <f t="shared" ca="1" si="1"/>
        <v>300000</v>
      </c>
      <c r="X6" s="124">
        <f t="shared" ca="1" si="1"/>
        <v>500000</v>
      </c>
      <c r="Y6" s="124">
        <f t="shared" ca="1" si="1"/>
        <v>500000</v>
      </c>
      <c r="Z6" s="124">
        <f t="shared" ca="1" si="1"/>
        <v>600000</v>
      </c>
      <c r="AA6" s="124">
        <f t="shared" ca="1" si="1"/>
        <v>1000000</v>
      </c>
      <c r="AB6" s="124">
        <f t="shared" ca="1" si="1"/>
        <v>1500000</v>
      </c>
      <c r="AC6" s="124">
        <f t="shared" ca="1" si="1"/>
        <v>2000000</v>
      </c>
      <c r="AD6" s="124">
        <f t="shared" ca="1" si="1"/>
        <v>5000000</v>
      </c>
      <c r="AE6" s="124">
        <f t="shared" ca="1" si="1"/>
        <v>5000000</v>
      </c>
      <c r="AF6" s="124">
        <f t="shared" ca="1" si="1"/>
        <v>5000000</v>
      </c>
      <c r="AG6" s="124">
        <f t="shared" ca="1" si="1"/>
        <v>10000000</v>
      </c>
      <c r="AH6" s="124">
        <f t="shared" ca="1" si="1"/>
        <v>10000000</v>
      </c>
      <c r="AI6" s="124">
        <f t="shared" ca="1" si="1"/>
        <v>10000000</v>
      </c>
      <c r="AJ6" s="124">
        <f t="shared" ca="1" si="1"/>
        <v>50000000</v>
      </c>
      <c r="AK6" s="124">
        <f t="shared" ca="1" si="1"/>
        <v>10000000</v>
      </c>
      <c r="AL6" s="124">
        <f t="shared" ca="1" si="2"/>
        <v>10000000</v>
      </c>
      <c r="AM6" s="124">
        <f t="shared" ca="1" si="2"/>
        <v>10000000</v>
      </c>
      <c r="AN6" s="124">
        <f t="shared" ca="1" si="2"/>
        <v>10000000</v>
      </c>
      <c r="AO6" s="124">
        <f t="shared" ca="1" si="2"/>
        <v>10000000</v>
      </c>
      <c r="AP6" s="54"/>
    </row>
    <row r="7" spans="2:42" x14ac:dyDescent="0.25">
      <c r="B7" s="146"/>
      <c r="C7" s="22" t="s">
        <v>1399</v>
      </c>
      <c r="D7" s="88" t="s">
        <v>1413</v>
      </c>
      <c r="E7" s="54">
        <f>'c30'!F9</f>
        <v>0</v>
      </c>
      <c r="F7" s="54">
        <f t="shared" ca="1" si="1"/>
        <v>0</v>
      </c>
      <c r="G7" s="54">
        <f t="shared" ca="1" si="1"/>
        <v>0</v>
      </c>
      <c r="H7" s="54">
        <f t="shared" ca="1" si="1"/>
        <v>0</v>
      </c>
      <c r="I7" s="54">
        <f t="shared" ca="1" si="1"/>
        <v>0</v>
      </c>
      <c r="J7" s="54">
        <f t="shared" ca="1" si="1"/>
        <v>0</v>
      </c>
      <c r="K7" s="54">
        <f t="shared" ca="1" si="1"/>
        <v>0</v>
      </c>
      <c r="L7" s="54">
        <f t="shared" ca="1" si="1"/>
        <v>0</v>
      </c>
      <c r="M7" s="54">
        <f t="shared" ca="1" si="1"/>
        <v>0</v>
      </c>
      <c r="N7" s="54">
        <f t="shared" ca="1" si="1"/>
        <v>0</v>
      </c>
      <c r="O7" s="54">
        <f t="shared" ca="1" si="1"/>
        <v>0</v>
      </c>
      <c r="P7" s="54">
        <f t="shared" ca="1" si="1"/>
        <v>0</v>
      </c>
      <c r="Q7" s="54">
        <f t="shared" ca="1" si="1"/>
        <v>0</v>
      </c>
      <c r="R7" s="54">
        <f t="shared" ca="1" si="1"/>
        <v>0</v>
      </c>
      <c r="S7" s="54">
        <f t="shared" ca="1" si="1"/>
        <v>0</v>
      </c>
      <c r="T7" s="54">
        <f t="shared" ca="1" si="1"/>
        <v>0</v>
      </c>
      <c r="U7" s="54">
        <f t="shared" ca="1" si="1"/>
        <v>0</v>
      </c>
      <c r="V7" s="54">
        <f t="shared" ca="1" si="1"/>
        <v>0</v>
      </c>
      <c r="W7" s="54">
        <f t="shared" ca="1" si="1"/>
        <v>0</v>
      </c>
      <c r="X7" s="54">
        <f t="shared" ca="1" si="1"/>
        <v>0</v>
      </c>
      <c r="Y7" s="54">
        <f t="shared" ca="1" si="1"/>
        <v>0</v>
      </c>
      <c r="Z7" s="54">
        <f t="shared" ca="1" si="1"/>
        <v>0</v>
      </c>
      <c r="AA7" s="54">
        <f t="shared" ca="1" si="1"/>
        <v>0</v>
      </c>
      <c r="AB7" s="54">
        <f t="shared" ca="1" si="1"/>
        <v>0</v>
      </c>
      <c r="AC7" s="54">
        <f t="shared" ca="1" si="1"/>
        <v>0</v>
      </c>
      <c r="AD7" s="54">
        <f t="shared" ca="1" si="1"/>
        <v>0</v>
      </c>
      <c r="AE7" s="54">
        <f t="shared" ca="1" si="1"/>
        <v>0</v>
      </c>
      <c r="AF7" s="54">
        <f t="shared" ca="1" si="1"/>
        <v>0</v>
      </c>
      <c r="AG7" s="54">
        <f t="shared" ca="1" si="1"/>
        <v>0</v>
      </c>
      <c r="AH7" s="54">
        <f t="shared" ca="1" si="1"/>
        <v>0</v>
      </c>
      <c r="AI7" s="54">
        <f t="shared" ca="1" si="1"/>
        <v>0</v>
      </c>
      <c r="AJ7" s="54">
        <f t="shared" ca="1" si="1"/>
        <v>0</v>
      </c>
      <c r="AK7" s="54">
        <f t="shared" ca="1" si="1"/>
        <v>0</v>
      </c>
      <c r="AL7" s="54">
        <f t="shared" ca="1" si="2"/>
        <v>0</v>
      </c>
      <c r="AM7" s="54">
        <f t="shared" ca="1" si="2"/>
        <v>0</v>
      </c>
      <c r="AN7" s="54">
        <f t="shared" ca="1" si="2"/>
        <v>0</v>
      </c>
      <c r="AO7" s="54">
        <f t="shared" ca="1" si="2"/>
        <v>0</v>
      </c>
      <c r="AP7" s="54"/>
    </row>
    <row r="8" spans="2:42" x14ac:dyDescent="0.25">
      <c r="B8" s="146"/>
      <c r="C8" s="93" t="s">
        <v>1371</v>
      </c>
      <c r="D8" s="86" t="s">
        <v>1412</v>
      </c>
      <c r="E8" s="96">
        <f>'c30'!F10</f>
        <v>3</v>
      </c>
      <c r="F8" s="96">
        <f t="shared" ca="1" si="1"/>
        <v>64</v>
      </c>
      <c r="G8" s="96">
        <f t="shared" ca="1" si="1"/>
        <v>64</v>
      </c>
      <c r="H8" s="96">
        <f t="shared" ca="1" si="1"/>
        <v>64</v>
      </c>
      <c r="I8" s="96">
        <f t="shared" ca="1" si="1"/>
        <v>64</v>
      </c>
      <c r="J8" s="96">
        <f t="shared" ca="1" si="1"/>
        <v>64</v>
      </c>
      <c r="K8" s="96">
        <f t="shared" ca="1" si="1"/>
        <v>256</v>
      </c>
      <c r="L8" s="96">
        <f t="shared" ca="1" si="1"/>
        <v>256</v>
      </c>
      <c r="M8" s="96">
        <f t="shared" ca="1" si="1"/>
        <v>256</v>
      </c>
      <c r="N8" s="96">
        <f t="shared" ca="1" si="1"/>
        <v>64</v>
      </c>
      <c r="O8" s="96">
        <f t="shared" ca="1" si="1"/>
        <v>256</v>
      </c>
      <c r="P8" s="96">
        <f t="shared" ca="1" si="1"/>
        <v>625</v>
      </c>
      <c r="Q8" s="96">
        <f t="shared" ca="1" si="1"/>
        <v>625</v>
      </c>
      <c r="R8" s="96">
        <f t="shared" ca="1" si="1"/>
        <v>3125</v>
      </c>
      <c r="S8" s="96">
        <f t="shared" ca="1" si="1"/>
        <v>625</v>
      </c>
      <c r="T8" s="96">
        <f t="shared" ca="1" si="1"/>
        <v>625</v>
      </c>
      <c r="U8" s="96">
        <f t="shared" ca="1" si="1"/>
        <v>3125</v>
      </c>
      <c r="V8" s="96">
        <f t="shared" ca="1" si="1"/>
        <v>3125</v>
      </c>
      <c r="W8" s="96">
        <f t="shared" ca="1" si="1"/>
        <v>3125</v>
      </c>
      <c r="X8" s="96">
        <f t="shared" ca="1" si="1"/>
        <v>3125</v>
      </c>
      <c r="Y8" s="96">
        <f t="shared" ca="1" si="1"/>
        <v>3125</v>
      </c>
      <c r="Z8" s="96">
        <f t="shared" ca="1" si="1"/>
        <v>3125</v>
      </c>
      <c r="AA8" s="96">
        <f t="shared" ca="1" si="1"/>
        <v>3125</v>
      </c>
      <c r="AB8" s="96">
        <f t="shared" ca="1" si="1"/>
        <v>3125</v>
      </c>
      <c r="AC8" s="96">
        <f t="shared" ca="1" si="1"/>
        <v>1000</v>
      </c>
      <c r="AD8" s="96">
        <f t="shared" ca="1" si="1"/>
        <v>1000</v>
      </c>
      <c r="AE8" s="96">
        <f t="shared" ca="1" si="1"/>
        <v>3125</v>
      </c>
      <c r="AF8" s="96">
        <f t="shared" ca="1" si="1"/>
        <v>3125</v>
      </c>
      <c r="AG8" s="96">
        <f t="shared" ca="1" si="1"/>
        <v>1000</v>
      </c>
      <c r="AH8" s="96">
        <f t="shared" ca="1" si="1"/>
        <v>3125</v>
      </c>
      <c r="AI8" s="96">
        <f t="shared" ca="1" si="1"/>
        <v>1000</v>
      </c>
      <c r="AJ8" s="96">
        <f t="shared" ca="1" si="1"/>
        <v>1296</v>
      </c>
      <c r="AK8" s="96">
        <f t="shared" ca="1" si="1"/>
        <v>1296</v>
      </c>
      <c r="AL8" s="96">
        <f t="shared" ca="1" si="2"/>
        <v>1296</v>
      </c>
      <c r="AM8" s="96">
        <f t="shared" ca="1" si="2"/>
        <v>1296</v>
      </c>
      <c r="AN8" s="96">
        <f t="shared" ca="1" si="2"/>
        <v>1296</v>
      </c>
      <c r="AO8" s="96">
        <f t="shared" ca="1" si="2"/>
        <v>1296</v>
      </c>
      <c r="AP8" s="54"/>
    </row>
    <row r="9" spans="2:42" x14ac:dyDescent="0.25">
      <c r="B9" s="146"/>
      <c r="C9" s="93" t="s">
        <v>1372</v>
      </c>
      <c r="D9" s="86" t="s">
        <v>1411</v>
      </c>
      <c r="E9" s="54">
        <f>'c30'!F11</f>
        <v>2</v>
      </c>
      <c r="F9" s="54">
        <f t="shared" ca="1" si="1"/>
        <v>10</v>
      </c>
      <c r="G9" s="54">
        <f t="shared" ca="1" si="1"/>
        <v>15</v>
      </c>
      <c r="H9" s="54">
        <f t="shared" ca="1" si="1"/>
        <v>20</v>
      </c>
      <c r="I9" s="54">
        <f t="shared" ca="1" si="1"/>
        <v>30</v>
      </c>
      <c r="J9" s="54">
        <f t="shared" ca="1" si="1"/>
        <v>20</v>
      </c>
      <c r="K9" s="54">
        <f t="shared" ca="1" si="1"/>
        <v>30</v>
      </c>
      <c r="L9" s="54">
        <f t="shared" ca="1" si="1"/>
        <v>40</v>
      </c>
      <c r="M9" s="54">
        <f t="shared" ca="1" si="1"/>
        <v>40</v>
      </c>
      <c r="N9" s="54">
        <f t="shared" ca="1" si="1"/>
        <v>40</v>
      </c>
      <c r="O9" s="54">
        <f t="shared" ca="1" si="1"/>
        <v>50</v>
      </c>
      <c r="P9" s="54">
        <f t="shared" ca="1" si="1"/>
        <v>100</v>
      </c>
      <c r="Q9" s="54">
        <f t="shared" ca="1" si="1"/>
        <v>100</v>
      </c>
      <c r="R9" s="54">
        <f t="shared" ca="1" si="1"/>
        <v>100</v>
      </c>
      <c r="S9" s="54">
        <f t="shared" ca="1" si="1"/>
        <v>100</v>
      </c>
      <c r="T9" s="54">
        <f t="shared" ca="1" si="1"/>
        <v>100</v>
      </c>
      <c r="U9" s="54">
        <f t="shared" ca="1" si="1"/>
        <v>100</v>
      </c>
      <c r="V9" s="54">
        <f t="shared" ca="1" si="1"/>
        <v>100</v>
      </c>
      <c r="W9" s="54">
        <f t="shared" ca="1" si="1"/>
        <v>100</v>
      </c>
      <c r="X9" s="54">
        <f t="shared" ca="1" si="1"/>
        <v>100</v>
      </c>
      <c r="Y9" s="54">
        <f t="shared" ca="1" si="1"/>
        <v>100</v>
      </c>
      <c r="Z9" s="54">
        <f t="shared" ca="1" si="1"/>
        <v>100</v>
      </c>
      <c r="AA9" s="54">
        <f t="shared" ca="1" si="1"/>
        <v>100</v>
      </c>
      <c r="AB9" s="54">
        <f t="shared" ca="1" si="1"/>
        <v>100</v>
      </c>
      <c r="AC9" s="54">
        <f t="shared" ca="1" si="1"/>
        <v>100</v>
      </c>
      <c r="AD9" s="54">
        <f t="shared" ca="1" si="1"/>
        <v>100</v>
      </c>
      <c r="AE9" s="54">
        <f t="shared" ca="1" si="1"/>
        <v>100</v>
      </c>
      <c r="AF9" s="54">
        <f t="shared" ca="1" si="1"/>
        <v>100</v>
      </c>
      <c r="AG9" s="54">
        <f t="shared" ca="1" si="1"/>
        <v>100</v>
      </c>
      <c r="AH9" s="54">
        <f t="shared" ca="1" si="1"/>
        <v>100</v>
      </c>
      <c r="AI9" s="54">
        <f t="shared" ca="1" si="1"/>
        <v>100</v>
      </c>
      <c r="AJ9" s="54">
        <f t="shared" ca="1" si="1"/>
        <v>100</v>
      </c>
      <c r="AK9" s="54">
        <f t="shared" ca="1" si="1"/>
        <v>100</v>
      </c>
      <c r="AL9" s="54">
        <f t="shared" ca="1" si="2"/>
        <v>100</v>
      </c>
      <c r="AM9" s="54">
        <f t="shared" ca="1" si="2"/>
        <v>100</v>
      </c>
      <c r="AN9" s="54">
        <f t="shared" ca="1" si="2"/>
        <v>100</v>
      </c>
      <c r="AO9" s="54">
        <f t="shared" ca="1" si="2"/>
        <v>100</v>
      </c>
      <c r="AP9" s="54"/>
    </row>
    <row r="10" spans="2:42" x14ac:dyDescent="0.25">
      <c r="B10" s="146"/>
      <c r="C10" s="94" t="s">
        <v>1403</v>
      </c>
      <c r="D10" s="88" t="s">
        <v>1410</v>
      </c>
      <c r="E10" s="96">
        <f>'c30'!F12</f>
        <v>3</v>
      </c>
      <c r="F10" s="96">
        <f t="shared" ca="1" si="1"/>
        <v>4</v>
      </c>
      <c r="G10" s="96">
        <f t="shared" ca="1" si="1"/>
        <v>4</v>
      </c>
      <c r="H10" s="96">
        <f t="shared" ca="1" si="1"/>
        <v>4</v>
      </c>
      <c r="I10" s="96">
        <f t="shared" ca="1" si="1"/>
        <v>4</v>
      </c>
      <c r="J10" s="96">
        <f t="shared" ca="1" si="1"/>
        <v>4</v>
      </c>
      <c r="K10" s="96">
        <f t="shared" ca="1" si="1"/>
        <v>4</v>
      </c>
      <c r="L10" s="96">
        <f t="shared" ca="1" si="1"/>
        <v>4</v>
      </c>
      <c r="M10" s="96">
        <f t="shared" ca="1" si="1"/>
        <v>4</v>
      </c>
      <c r="N10" s="96">
        <f t="shared" ca="1" si="1"/>
        <v>4</v>
      </c>
      <c r="O10" s="96">
        <f t="shared" ca="1" si="1"/>
        <v>4</v>
      </c>
      <c r="P10" s="96">
        <f t="shared" ca="1" si="1"/>
        <v>5</v>
      </c>
      <c r="Q10" s="96">
        <f t="shared" ca="1" si="1"/>
        <v>4</v>
      </c>
      <c r="R10" s="96">
        <f t="shared" ca="1" si="1"/>
        <v>5</v>
      </c>
      <c r="S10" s="96">
        <f t="shared" ca="1" si="1"/>
        <v>5</v>
      </c>
      <c r="T10" s="96">
        <f t="shared" ca="1" si="1"/>
        <v>5</v>
      </c>
      <c r="U10" s="96">
        <f t="shared" ca="1" si="1"/>
        <v>5</v>
      </c>
      <c r="V10" s="96">
        <f t="shared" ca="1" si="1"/>
        <v>5</v>
      </c>
      <c r="W10" s="96">
        <f t="shared" ca="1" si="1"/>
        <v>5</v>
      </c>
      <c r="X10" s="96">
        <f t="shared" ca="1" si="1"/>
        <v>5</v>
      </c>
      <c r="Y10" s="96">
        <f t="shared" ca="1" si="1"/>
        <v>5</v>
      </c>
      <c r="Z10" s="96">
        <f t="shared" ca="1" si="1"/>
        <v>5</v>
      </c>
      <c r="AA10" s="96">
        <f t="shared" ca="1" si="1"/>
        <v>5</v>
      </c>
      <c r="AB10" s="96">
        <f t="shared" ca="1" si="1"/>
        <v>5</v>
      </c>
      <c r="AC10" s="96">
        <f t="shared" ca="1" si="1"/>
        <v>5</v>
      </c>
      <c r="AD10" s="96">
        <f t="shared" ca="1" si="1"/>
        <v>5</v>
      </c>
      <c r="AE10" s="96">
        <f t="shared" ca="1" si="1"/>
        <v>5</v>
      </c>
      <c r="AF10" s="96">
        <f t="shared" ca="1" si="1"/>
        <v>5</v>
      </c>
      <c r="AG10" s="96">
        <f t="shared" ca="1" si="1"/>
        <v>5</v>
      </c>
      <c r="AH10" s="96">
        <f t="shared" ca="1" si="1"/>
        <v>5</v>
      </c>
      <c r="AI10" s="96">
        <f t="shared" ca="1" si="1"/>
        <v>5</v>
      </c>
      <c r="AJ10" s="96">
        <f t="shared" ca="1" si="1"/>
        <v>6</v>
      </c>
      <c r="AK10" s="96">
        <f t="shared" ca="1" si="1"/>
        <v>6</v>
      </c>
      <c r="AL10" s="96">
        <f t="shared" ca="1" si="2"/>
        <v>6</v>
      </c>
      <c r="AM10" s="96">
        <f t="shared" ca="1" si="2"/>
        <v>6</v>
      </c>
      <c r="AN10" s="96">
        <f t="shared" ca="1" si="2"/>
        <v>6</v>
      </c>
      <c r="AO10" s="96">
        <f t="shared" ca="1" si="2"/>
        <v>6</v>
      </c>
      <c r="AP10" s="54"/>
    </row>
    <row r="11" spans="2:42" x14ac:dyDescent="0.25">
      <c r="B11" s="146"/>
      <c r="C11" s="93" t="s">
        <v>1442</v>
      </c>
      <c r="D11" s="86" t="s">
        <v>1415</v>
      </c>
      <c r="E11" s="54">
        <f>'c30'!F13</f>
        <v>1</v>
      </c>
      <c r="F11" s="54">
        <f t="shared" ca="1" si="1"/>
        <v>0.1</v>
      </c>
      <c r="G11" s="54">
        <f t="shared" ca="1" si="1"/>
        <v>0.1</v>
      </c>
      <c r="H11" s="54">
        <f t="shared" ca="1" si="1"/>
        <v>0.1</v>
      </c>
      <c r="I11" s="54">
        <f t="shared" ca="1" si="1"/>
        <v>0</v>
      </c>
      <c r="J11" s="54">
        <f t="shared" ca="1" si="1"/>
        <v>0.1</v>
      </c>
      <c r="K11" s="54">
        <f t="shared" ca="1" si="1"/>
        <v>0.1</v>
      </c>
      <c r="L11" s="54">
        <f t="shared" ca="1" si="1"/>
        <v>0.1</v>
      </c>
      <c r="M11" s="54">
        <f t="shared" ca="1" si="1"/>
        <v>0.2</v>
      </c>
      <c r="N11" s="54">
        <f t="shared" ca="1" si="1"/>
        <v>0.5</v>
      </c>
      <c r="O11" s="54">
        <f t="shared" ca="1" si="1"/>
        <v>1</v>
      </c>
      <c r="P11" s="54">
        <f t="shared" ca="1" si="1"/>
        <v>1</v>
      </c>
      <c r="Q11" s="54">
        <f t="shared" ca="1" si="1"/>
        <v>1</v>
      </c>
      <c r="R11" s="54">
        <f t="shared" ca="1" si="1"/>
        <v>1</v>
      </c>
      <c r="S11" s="54">
        <f t="shared" ca="1" si="1"/>
        <v>5</v>
      </c>
      <c r="T11" s="54">
        <f t="shared" ca="1" si="1"/>
        <v>10</v>
      </c>
      <c r="U11" s="54">
        <f t="shared" ca="1" si="1"/>
        <v>10</v>
      </c>
      <c r="V11" s="54">
        <f t="shared" ca="1" si="1"/>
        <v>10</v>
      </c>
      <c r="W11" s="54">
        <f t="shared" ca="1" si="1"/>
        <v>0</v>
      </c>
      <c r="X11" s="54">
        <f t="shared" ca="1" si="1"/>
        <v>10</v>
      </c>
      <c r="Y11" s="54">
        <f t="shared" ca="1" si="1"/>
        <v>10</v>
      </c>
      <c r="Z11" s="54">
        <f t="shared" ca="1" si="1"/>
        <v>0</v>
      </c>
      <c r="AA11" s="54">
        <f t="shared" ca="1" si="1"/>
        <v>0</v>
      </c>
      <c r="AB11" s="54">
        <f t="shared" ca="1" si="1"/>
        <v>0</v>
      </c>
      <c r="AC11" s="54">
        <f t="shared" ca="1" si="1"/>
        <v>0</v>
      </c>
      <c r="AD11" s="54">
        <f t="shared" ca="1" si="1"/>
        <v>0</v>
      </c>
      <c r="AE11" s="54">
        <f t="shared" ca="1" si="1"/>
        <v>0</v>
      </c>
      <c r="AF11" s="54">
        <f t="shared" ca="1" si="1"/>
        <v>0</v>
      </c>
      <c r="AG11" s="54">
        <f t="shared" ca="1" si="1"/>
        <v>0</v>
      </c>
      <c r="AH11" s="54">
        <f t="shared" ca="1" si="1"/>
        <v>0</v>
      </c>
      <c r="AI11" s="54">
        <f t="shared" ca="1" si="1"/>
        <v>0</v>
      </c>
      <c r="AJ11" s="54">
        <f t="shared" ca="1" si="1"/>
        <v>10</v>
      </c>
      <c r="AK11" s="54">
        <f t="shared" ca="1" si="1"/>
        <v>0</v>
      </c>
      <c r="AL11" s="54">
        <f t="shared" ca="1" si="2"/>
        <v>0</v>
      </c>
      <c r="AM11" s="54">
        <f t="shared" ca="1" si="2"/>
        <v>0</v>
      </c>
      <c r="AN11" s="54">
        <f t="shared" ca="1" si="2"/>
        <v>0</v>
      </c>
      <c r="AO11" s="54">
        <f t="shared" ca="1" si="2"/>
        <v>0</v>
      </c>
      <c r="AP11" s="54"/>
    </row>
    <row r="12" spans="2:42" x14ac:dyDescent="0.25">
      <c r="B12" s="146"/>
      <c r="C12" s="93" t="s">
        <v>1366</v>
      </c>
      <c r="D12" s="86" t="s">
        <v>1416</v>
      </c>
      <c r="E12" s="96">
        <f>'c30'!H5</f>
        <v>20</v>
      </c>
      <c r="F12" s="96">
        <f t="shared" ca="1" si="1"/>
        <v>60</v>
      </c>
      <c r="G12" s="96">
        <f t="shared" ca="1" si="1"/>
        <v>60</v>
      </c>
      <c r="H12" s="96">
        <f t="shared" ca="1" si="1"/>
        <v>60</v>
      </c>
      <c r="I12" s="96">
        <f t="shared" ca="1" si="1"/>
        <v>60</v>
      </c>
      <c r="J12" s="96">
        <f t="shared" ca="1" si="1"/>
        <v>60</v>
      </c>
      <c r="K12" s="96">
        <f t="shared" ca="1" si="1"/>
        <v>60</v>
      </c>
      <c r="L12" s="96">
        <f t="shared" ca="1" si="1"/>
        <v>60</v>
      </c>
      <c r="M12" s="96">
        <f t="shared" ca="1" si="1"/>
        <v>60</v>
      </c>
      <c r="N12" s="96">
        <f t="shared" ca="1" si="1"/>
        <v>60</v>
      </c>
      <c r="O12" s="96">
        <f t="shared" ca="1" si="1"/>
        <v>60</v>
      </c>
      <c r="P12" s="96">
        <f t="shared" ca="1" si="1"/>
        <v>60</v>
      </c>
      <c r="Q12" s="96">
        <f t="shared" ca="1" si="1"/>
        <v>60</v>
      </c>
      <c r="R12" s="96">
        <f t="shared" ca="1" si="1"/>
        <v>60</v>
      </c>
      <c r="S12" s="96">
        <f t="shared" ca="1" si="1"/>
        <v>60</v>
      </c>
      <c r="T12" s="96">
        <f t="shared" ca="1" si="1"/>
        <v>60</v>
      </c>
      <c r="U12" s="96">
        <f t="shared" ca="1" si="1"/>
        <v>60</v>
      </c>
      <c r="V12" s="96">
        <f t="shared" ca="1" si="1"/>
        <v>60</v>
      </c>
      <c r="W12" s="96">
        <f t="shared" ca="1" si="1"/>
        <v>60</v>
      </c>
      <c r="X12" s="96">
        <f t="shared" ca="1" si="1"/>
        <v>60</v>
      </c>
      <c r="Y12" s="96">
        <f t="shared" ca="1" si="1"/>
        <v>60</v>
      </c>
      <c r="Z12" s="96">
        <f t="shared" ca="1" si="1"/>
        <v>60</v>
      </c>
      <c r="AA12" s="96">
        <f t="shared" ca="1" si="1"/>
        <v>60</v>
      </c>
      <c r="AB12" s="96">
        <f t="shared" ca="1" si="1"/>
        <v>60</v>
      </c>
      <c r="AC12" s="96">
        <f t="shared" ca="1" si="1"/>
        <v>60</v>
      </c>
      <c r="AD12" s="96">
        <f t="shared" ca="1" si="1"/>
        <v>60</v>
      </c>
      <c r="AE12" s="96">
        <f t="shared" ca="1" si="1"/>
        <v>27720</v>
      </c>
      <c r="AF12" s="96">
        <f t="shared" ca="1" si="1"/>
        <v>420</v>
      </c>
      <c r="AG12" s="96">
        <f t="shared" ca="1" si="1"/>
        <v>60</v>
      </c>
      <c r="AH12" s="96">
        <f t="shared" ca="1" si="1"/>
        <v>60</v>
      </c>
      <c r="AI12" s="96">
        <f t="shared" ca="1" si="1"/>
        <v>60</v>
      </c>
      <c r="AJ12" s="96">
        <f t="shared" ca="1" si="1"/>
        <v>60</v>
      </c>
      <c r="AK12" s="96">
        <f t="shared" ref="AK12" ca="1" si="3">INDIRECT(CONCATENATE("'",AK$2,"'!",$D12))</f>
        <v>60</v>
      </c>
      <c r="AL12" s="96">
        <f t="shared" ca="1" si="2"/>
        <v>60</v>
      </c>
      <c r="AM12" s="96">
        <f t="shared" ca="1" si="2"/>
        <v>60</v>
      </c>
      <c r="AN12" s="96">
        <f t="shared" ca="1" si="2"/>
        <v>60</v>
      </c>
      <c r="AO12" s="96">
        <f t="shared" ca="1" si="2"/>
        <v>60</v>
      </c>
      <c r="AP12" s="54"/>
    </row>
    <row r="13" spans="2:42" x14ac:dyDescent="0.25">
      <c r="B13" s="146"/>
      <c r="C13" s="20" t="s">
        <v>1397</v>
      </c>
      <c r="D13" s="86"/>
      <c r="AP13" s="54"/>
    </row>
    <row r="14" spans="2:42" x14ac:dyDescent="0.25">
      <c r="B14" s="146"/>
      <c r="C14" s="92" t="s">
        <v>1370</v>
      </c>
      <c r="D14" s="87" t="s">
        <v>1417</v>
      </c>
      <c r="E14" s="54">
        <f>'c30'!H7</f>
        <v>100</v>
      </c>
      <c r="F14" s="54">
        <f t="shared" ref="F14:AO15" ca="1" si="4">INDIRECT(CONCATENATE("'",F$2,"'!",$D14))</f>
        <v>5000</v>
      </c>
      <c r="G14" s="54">
        <f t="shared" ca="1" si="4"/>
        <v>11000</v>
      </c>
      <c r="H14" s="54">
        <f t="shared" ca="1" si="4"/>
        <v>22000</v>
      </c>
      <c r="I14" s="54">
        <f t="shared" ca="1" si="4"/>
        <v>42000</v>
      </c>
      <c r="J14" s="54">
        <f t="shared" ca="1" si="4"/>
        <v>5000</v>
      </c>
      <c r="K14" s="54">
        <f t="shared" ca="1" si="4"/>
        <v>5000</v>
      </c>
      <c r="L14" s="54">
        <f t="shared" ca="1" si="4"/>
        <v>5000</v>
      </c>
      <c r="M14" s="54">
        <f t="shared" ca="1" si="4"/>
        <v>10000</v>
      </c>
      <c r="N14" s="54">
        <f t="shared" ca="1" si="4"/>
        <v>10000</v>
      </c>
      <c r="O14" s="54">
        <f t="shared" ca="1" si="4"/>
        <v>5000</v>
      </c>
      <c r="P14" s="54">
        <f t="shared" ca="1" si="4"/>
        <v>5000</v>
      </c>
      <c r="Q14" s="54">
        <f t="shared" ca="1" si="4"/>
        <v>10000</v>
      </c>
      <c r="R14" s="54">
        <f t="shared" ca="1" si="4"/>
        <v>500</v>
      </c>
      <c r="S14" s="54">
        <f t="shared" ca="1" si="4"/>
        <v>5000</v>
      </c>
      <c r="T14" s="54">
        <f t="shared" ca="1" si="4"/>
        <v>10000</v>
      </c>
      <c r="U14" s="54">
        <f t="shared" ca="1" si="4"/>
        <v>2000</v>
      </c>
      <c r="V14" s="54">
        <f t="shared" ca="1" si="4"/>
        <v>4000</v>
      </c>
      <c r="W14" s="54">
        <f t="shared" ca="1" si="4"/>
        <v>1000</v>
      </c>
      <c r="X14" s="54">
        <f t="shared" ca="1" si="4"/>
        <v>1000</v>
      </c>
      <c r="Y14" s="54">
        <f t="shared" ca="1" si="4"/>
        <v>1000</v>
      </c>
      <c r="Z14" s="54">
        <f t="shared" ca="1" si="4"/>
        <v>1000</v>
      </c>
      <c r="AA14" s="54">
        <f t="shared" ca="1" si="4"/>
        <v>1000</v>
      </c>
      <c r="AB14" s="54">
        <f t="shared" ca="1" si="4"/>
        <v>1000</v>
      </c>
      <c r="AC14" s="54">
        <f t="shared" ca="1" si="4"/>
        <v>100000</v>
      </c>
      <c r="AD14" s="54">
        <f t="shared" ca="1" si="4"/>
        <v>5000</v>
      </c>
      <c r="AE14" s="54">
        <f t="shared" ca="1" si="4"/>
        <v>300000</v>
      </c>
      <c r="AF14" s="54">
        <f t="shared" ca="1" si="4"/>
        <v>4200</v>
      </c>
      <c r="AG14" s="54">
        <f t="shared" ca="1" si="4"/>
        <v>50000</v>
      </c>
      <c r="AH14" s="54">
        <f t="shared" ca="1" si="4"/>
        <v>1000</v>
      </c>
      <c r="AI14" s="54">
        <f t="shared" ca="1" si="4"/>
        <v>500000</v>
      </c>
      <c r="AJ14" s="54">
        <f t="shared" ca="1" si="4"/>
        <v>10000</v>
      </c>
      <c r="AK14" s="54">
        <f t="shared" ca="1" si="4"/>
        <v>1000000</v>
      </c>
      <c r="AL14" s="54">
        <f t="shared" ca="1" si="4"/>
        <v>1000000</v>
      </c>
      <c r="AM14" s="54">
        <f t="shared" ca="1" si="4"/>
        <v>1000000</v>
      </c>
      <c r="AN14" s="54">
        <f t="shared" ca="1" si="4"/>
        <v>1000000</v>
      </c>
      <c r="AO14" s="54">
        <f t="shared" ca="1" si="4"/>
        <v>1000000</v>
      </c>
      <c r="AP14" s="54"/>
    </row>
    <row r="15" spans="2:42" x14ac:dyDescent="0.25">
      <c r="B15" s="146"/>
      <c r="C15" s="20" t="s">
        <v>1373</v>
      </c>
      <c r="D15" s="86" t="s">
        <v>1418</v>
      </c>
      <c r="E15" s="96">
        <f>'c30'!H8</f>
        <v>0</v>
      </c>
      <c r="F15" s="96">
        <f t="shared" ca="1" si="4"/>
        <v>0</v>
      </c>
      <c r="G15" s="96">
        <f t="shared" ca="1" si="4"/>
        <v>0</v>
      </c>
      <c r="H15" s="96">
        <f t="shared" ca="1" si="4"/>
        <v>0</v>
      </c>
      <c r="I15" s="96">
        <f t="shared" ca="1" si="4"/>
        <v>0</v>
      </c>
      <c r="J15" s="96">
        <f t="shared" ca="1" si="4"/>
        <v>0</v>
      </c>
      <c r="K15" s="96">
        <f t="shared" ca="1" si="4"/>
        <v>0</v>
      </c>
      <c r="L15" s="96">
        <f t="shared" ca="1" si="4"/>
        <v>2</v>
      </c>
      <c r="M15" s="96">
        <f t="shared" ca="1" si="4"/>
        <v>0</v>
      </c>
      <c r="N15" s="96">
        <f t="shared" ca="1" si="4"/>
        <v>0</v>
      </c>
      <c r="O15" s="96">
        <f t="shared" ca="1" si="4"/>
        <v>0</v>
      </c>
      <c r="P15" s="96">
        <f t="shared" ca="1" si="4"/>
        <v>0</v>
      </c>
      <c r="Q15" s="96">
        <f t="shared" ca="1" si="4"/>
        <v>0</v>
      </c>
      <c r="R15" s="96">
        <f t="shared" ca="1" si="4"/>
        <v>0</v>
      </c>
      <c r="S15" s="96">
        <f t="shared" ca="1" si="4"/>
        <v>0</v>
      </c>
      <c r="T15" s="96">
        <f t="shared" ca="1" si="4"/>
        <v>0</v>
      </c>
      <c r="U15" s="96">
        <f t="shared" ca="1" si="4"/>
        <v>0</v>
      </c>
      <c r="V15" s="96">
        <f t="shared" ca="1" si="4"/>
        <v>0</v>
      </c>
      <c r="W15" s="96">
        <f t="shared" ca="1" si="4"/>
        <v>0</v>
      </c>
      <c r="X15" s="96">
        <f t="shared" ca="1" si="4"/>
        <v>0</v>
      </c>
      <c r="Y15" s="96">
        <f t="shared" ca="1" si="4"/>
        <v>0</v>
      </c>
      <c r="Z15" s="96">
        <f t="shared" ca="1" si="4"/>
        <v>0</v>
      </c>
      <c r="AA15" s="96">
        <f t="shared" ca="1" si="4"/>
        <v>0</v>
      </c>
      <c r="AB15" s="96">
        <f t="shared" ca="1" si="4"/>
        <v>0</v>
      </c>
      <c r="AC15" s="96">
        <f t="shared" ca="1" si="4"/>
        <v>0</v>
      </c>
      <c r="AD15" s="96">
        <f t="shared" ca="1" si="4"/>
        <v>0</v>
      </c>
      <c r="AE15" s="96">
        <f t="shared" ca="1" si="4"/>
        <v>0</v>
      </c>
      <c r="AF15" s="96">
        <f t="shared" ca="1" si="4"/>
        <v>0</v>
      </c>
      <c r="AG15" s="96">
        <f t="shared" ca="1" si="4"/>
        <v>0</v>
      </c>
      <c r="AH15" s="96">
        <f t="shared" ca="1" si="4"/>
        <v>0</v>
      </c>
      <c r="AI15" s="96">
        <f t="shared" ca="1" si="4"/>
        <v>0</v>
      </c>
      <c r="AJ15" s="96">
        <f t="shared" ca="1" si="4"/>
        <v>0</v>
      </c>
      <c r="AK15" s="96">
        <f t="shared" ca="1" si="4"/>
        <v>0</v>
      </c>
      <c r="AL15" s="96">
        <f t="shared" ca="1" si="4"/>
        <v>0</v>
      </c>
      <c r="AM15" s="96">
        <f t="shared" ca="1" si="4"/>
        <v>0</v>
      </c>
      <c r="AN15" s="96">
        <f t="shared" ca="1" si="4"/>
        <v>0</v>
      </c>
      <c r="AO15" s="96">
        <f t="shared" ca="1" si="4"/>
        <v>0</v>
      </c>
      <c r="AP15" s="54"/>
    </row>
    <row r="16" spans="2:42" x14ac:dyDescent="0.25">
      <c r="AP16" s="54"/>
    </row>
    <row r="17" spans="2:42" x14ac:dyDescent="0.25">
      <c r="B17" s="147" t="s">
        <v>45</v>
      </c>
      <c r="C17" s="95" t="s">
        <v>1444</v>
      </c>
      <c r="D17" s="89" t="s">
        <v>1419</v>
      </c>
      <c r="E17" s="54">
        <f>'c30'!F26</f>
        <v>18</v>
      </c>
      <c r="F17" s="54">
        <f t="shared" ref="F17:AA28" ca="1" si="5">INDIRECT(CONCATENATE("'",F$2,"'!",$D17))</f>
        <v>0</v>
      </c>
      <c r="G17" s="54">
        <f t="shared" ca="1" si="5"/>
        <v>0</v>
      </c>
      <c r="H17" s="54">
        <f t="shared" ca="1" si="5"/>
        <v>0</v>
      </c>
      <c r="I17" s="54">
        <f t="shared" ca="1" si="5"/>
        <v>0</v>
      </c>
      <c r="J17" s="54">
        <f t="shared" ca="1" si="5"/>
        <v>0</v>
      </c>
      <c r="K17" s="54">
        <f t="shared" ca="1" si="5"/>
        <v>0</v>
      </c>
      <c r="L17" s="54">
        <f t="shared" ca="1" si="5"/>
        <v>0</v>
      </c>
      <c r="M17" s="54">
        <f t="shared" ca="1" si="5"/>
        <v>0</v>
      </c>
      <c r="N17" s="54">
        <f t="shared" ca="1" si="5"/>
        <v>0</v>
      </c>
      <c r="O17" s="54">
        <f t="shared" ca="1" si="5"/>
        <v>0</v>
      </c>
      <c r="P17" s="54">
        <f t="shared" ca="1" si="5"/>
        <v>0</v>
      </c>
      <c r="Q17" s="54">
        <f t="shared" ca="1" si="5"/>
        <v>0</v>
      </c>
      <c r="R17" s="54">
        <f t="shared" ca="1" si="5"/>
        <v>0</v>
      </c>
      <c r="S17" s="54">
        <f t="shared" ca="1" si="5"/>
        <v>0</v>
      </c>
      <c r="T17" s="54">
        <f t="shared" ca="1" si="5"/>
        <v>0</v>
      </c>
      <c r="U17" s="54">
        <f t="shared" ca="1" si="5"/>
        <v>0</v>
      </c>
      <c r="V17" s="54">
        <f t="shared" ca="1" si="5"/>
        <v>0</v>
      </c>
      <c r="W17" s="54">
        <f t="shared" ca="1" si="5"/>
        <v>0</v>
      </c>
      <c r="X17" s="54">
        <f t="shared" ca="1" si="5"/>
        <v>0</v>
      </c>
      <c r="Y17" s="54">
        <f t="shared" ca="1" si="5"/>
        <v>0</v>
      </c>
      <c r="Z17" s="54">
        <f t="shared" ca="1" si="5"/>
        <v>0</v>
      </c>
      <c r="AA17" s="54">
        <f t="shared" ca="1" si="5"/>
        <v>0</v>
      </c>
      <c r="AB17" s="54">
        <f t="shared" ref="AB17:AO28" ca="1" si="6">INDIRECT(CONCATENATE("'",AB$2,"'!",$D17))</f>
        <v>0</v>
      </c>
      <c r="AC17" s="54">
        <f t="shared" ca="1" si="6"/>
        <v>0</v>
      </c>
      <c r="AD17" s="54">
        <f t="shared" ca="1" si="6"/>
        <v>0</v>
      </c>
      <c r="AE17" s="54">
        <f t="shared" ca="1" si="6"/>
        <v>0</v>
      </c>
      <c r="AF17" s="54">
        <f t="shared" ca="1" si="6"/>
        <v>0</v>
      </c>
      <c r="AG17" s="54">
        <f t="shared" ca="1" si="6"/>
        <v>0</v>
      </c>
      <c r="AH17" s="54">
        <f t="shared" ca="1" si="6"/>
        <v>0</v>
      </c>
      <c r="AI17" s="54">
        <f t="shared" ca="1" si="6"/>
        <v>0</v>
      </c>
      <c r="AJ17" s="54">
        <f t="shared" ca="1" si="6"/>
        <v>0</v>
      </c>
      <c r="AK17" s="54">
        <f t="shared" ca="1" si="6"/>
        <v>0</v>
      </c>
      <c r="AL17" s="54">
        <f t="shared" ca="1" si="6"/>
        <v>0</v>
      </c>
      <c r="AM17" s="54">
        <f t="shared" ca="1" si="6"/>
        <v>0</v>
      </c>
      <c r="AN17" s="54">
        <f t="shared" ca="1" si="6"/>
        <v>0</v>
      </c>
      <c r="AO17" s="54">
        <f t="shared" ca="1" si="6"/>
        <v>0</v>
      </c>
      <c r="AP17" s="54"/>
    </row>
    <row r="18" spans="2:42" x14ac:dyDescent="0.25">
      <c r="B18" s="147"/>
      <c r="C18" s="95" t="s">
        <v>1443</v>
      </c>
      <c r="D18" s="89" t="s">
        <v>1426</v>
      </c>
      <c r="E18" s="96">
        <f>'c30'!F27</f>
        <v>18</v>
      </c>
      <c r="F18" s="96">
        <f t="shared" ca="1" si="5"/>
        <v>0</v>
      </c>
      <c r="G18" s="96">
        <f t="shared" ca="1" si="5"/>
        <v>0</v>
      </c>
      <c r="H18" s="96">
        <f t="shared" ca="1" si="5"/>
        <v>0</v>
      </c>
      <c r="I18" s="96">
        <f t="shared" ca="1" si="5"/>
        <v>0</v>
      </c>
      <c r="J18" s="96">
        <f t="shared" ca="1" si="5"/>
        <v>0</v>
      </c>
      <c r="K18" s="96">
        <f t="shared" ca="1" si="5"/>
        <v>0</v>
      </c>
      <c r="L18" s="96">
        <f t="shared" ca="1" si="5"/>
        <v>0</v>
      </c>
      <c r="M18" s="96">
        <f t="shared" ca="1" si="5"/>
        <v>0</v>
      </c>
      <c r="N18" s="96">
        <f t="shared" ca="1" si="5"/>
        <v>0</v>
      </c>
      <c r="O18" s="96">
        <f t="shared" ca="1" si="5"/>
        <v>0</v>
      </c>
      <c r="P18" s="96">
        <f t="shared" ca="1" si="5"/>
        <v>0</v>
      </c>
      <c r="Q18" s="96">
        <f t="shared" ca="1" si="5"/>
        <v>0</v>
      </c>
      <c r="R18" s="96">
        <f t="shared" ca="1" si="5"/>
        <v>0</v>
      </c>
      <c r="S18" s="96">
        <f t="shared" ca="1" si="5"/>
        <v>0</v>
      </c>
      <c r="T18" s="96">
        <f t="shared" ca="1" si="5"/>
        <v>0</v>
      </c>
      <c r="U18" s="96">
        <f t="shared" ca="1" si="5"/>
        <v>0</v>
      </c>
      <c r="V18" s="96">
        <f t="shared" ca="1" si="5"/>
        <v>0</v>
      </c>
      <c r="W18" s="96">
        <f t="shared" ca="1" si="5"/>
        <v>0</v>
      </c>
      <c r="X18" s="96">
        <f t="shared" ca="1" si="5"/>
        <v>0</v>
      </c>
      <c r="Y18" s="96">
        <f t="shared" ca="1" si="5"/>
        <v>0</v>
      </c>
      <c r="Z18" s="96">
        <f t="shared" ca="1" si="5"/>
        <v>0</v>
      </c>
      <c r="AA18" s="96">
        <f t="shared" ca="1" si="5"/>
        <v>0</v>
      </c>
      <c r="AB18" s="96">
        <f t="shared" ca="1" si="6"/>
        <v>0</v>
      </c>
      <c r="AC18" s="96">
        <f t="shared" ca="1" si="6"/>
        <v>0</v>
      </c>
      <c r="AD18" s="96">
        <f t="shared" ca="1" si="6"/>
        <v>0</v>
      </c>
      <c r="AE18" s="96">
        <f t="shared" ca="1" si="6"/>
        <v>0</v>
      </c>
      <c r="AF18" s="96">
        <f t="shared" ca="1" si="6"/>
        <v>0</v>
      </c>
      <c r="AG18" s="96">
        <f t="shared" ca="1" si="6"/>
        <v>0</v>
      </c>
      <c r="AH18" s="96">
        <f t="shared" ca="1" si="6"/>
        <v>0</v>
      </c>
      <c r="AI18" s="96">
        <f t="shared" ca="1" si="6"/>
        <v>0</v>
      </c>
      <c r="AJ18" s="96">
        <f t="shared" ca="1" si="6"/>
        <v>0</v>
      </c>
      <c r="AK18" s="96">
        <f t="shared" ca="1" si="6"/>
        <v>0</v>
      </c>
      <c r="AL18" s="96">
        <f t="shared" ca="1" si="6"/>
        <v>0</v>
      </c>
      <c r="AM18" s="96">
        <f t="shared" ca="1" si="6"/>
        <v>0</v>
      </c>
      <c r="AN18" s="96">
        <f t="shared" ca="1" si="6"/>
        <v>0</v>
      </c>
      <c r="AO18" s="96">
        <f t="shared" ca="1" si="6"/>
        <v>0</v>
      </c>
      <c r="AP18" s="54"/>
    </row>
    <row r="19" spans="2:42" x14ac:dyDescent="0.25">
      <c r="B19" s="147"/>
      <c r="C19" s="5" t="s">
        <v>1378</v>
      </c>
      <c r="D19" s="89" t="s">
        <v>1425</v>
      </c>
      <c r="E19" s="54">
        <f>'c30'!F28</f>
        <v>0</v>
      </c>
      <c r="F19" s="54">
        <f t="shared" ca="1" si="5"/>
        <v>17</v>
      </c>
      <c r="G19" s="54">
        <f t="shared" ca="1" si="5"/>
        <v>18</v>
      </c>
      <c r="H19" s="54">
        <f t="shared" ca="1" si="5"/>
        <v>19</v>
      </c>
      <c r="I19" s="54">
        <f t="shared" ca="1" si="5"/>
        <v>41</v>
      </c>
      <c r="J19" s="54">
        <f t="shared" ca="1" si="5"/>
        <v>41</v>
      </c>
      <c r="K19" s="54">
        <f t="shared" ca="1" si="5"/>
        <v>44</v>
      </c>
      <c r="L19" s="54">
        <f t="shared" ca="1" si="5"/>
        <v>46</v>
      </c>
      <c r="M19" s="54">
        <f t="shared" ca="1" si="5"/>
        <v>22</v>
      </c>
      <c r="N19" s="54">
        <f t="shared" ca="1" si="5"/>
        <v>49</v>
      </c>
      <c r="O19" s="54">
        <f t="shared" ca="1" si="5"/>
        <v>47</v>
      </c>
      <c r="P19" s="54">
        <f t="shared" ca="1" si="5"/>
        <v>55</v>
      </c>
      <c r="Q19" s="54">
        <f t="shared" ca="1" si="5"/>
        <v>67</v>
      </c>
      <c r="R19" s="54">
        <f t="shared" ca="1" si="5"/>
        <v>52</v>
      </c>
      <c r="S19" s="54">
        <f t="shared" ca="1" si="5"/>
        <v>57</v>
      </c>
      <c r="T19" s="54">
        <f t="shared" ca="1" si="5"/>
        <v>55</v>
      </c>
      <c r="U19" s="54">
        <f t="shared" ca="1" si="5"/>
        <v>51</v>
      </c>
      <c r="V19" s="54">
        <f t="shared" ca="1" si="5"/>
        <v>62</v>
      </c>
      <c r="W19" s="54">
        <f t="shared" ca="1" si="5"/>
        <v>58</v>
      </c>
      <c r="X19" s="54">
        <f t="shared" ca="1" si="5"/>
        <v>0</v>
      </c>
      <c r="Y19" s="54">
        <f t="shared" ca="1" si="5"/>
        <v>0</v>
      </c>
      <c r="Z19" s="54">
        <f t="shared" ca="1" si="5"/>
        <v>0</v>
      </c>
      <c r="AA19" s="54">
        <f t="shared" ca="1" si="5"/>
        <v>0</v>
      </c>
      <c r="AB19" s="54">
        <f t="shared" ca="1" si="6"/>
        <v>0</v>
      </c>
      <c r="AC19" s="54">
        <f t="shared" ca="1" si="6"/>
        <v>0</v>
      </c>
      <c r="AD19" s="54">
        <f t="shared" ca="1" si="6"/>
        <v>0</v>
      </c>
      <c r="AE19" s="54">
        <f t="shared" ca="1" si="6"/>
        <v>0</v>
      </c>
      <c r="AF19" s="54">
        <f t="shared" ca="1" si="6"/>
        <v>0</v>
      </c>
      <c r="AG19" s="54">
        <f t="shared" ca="1" si="6"/>
        <v>0</v>
      </c>
      <c r="AH19" s="54">
        <f t="shared" ca="1" si="6"/>
        <v>85</v>
      </c>
      <c r="AI19" s="54">
        <f t="shared" ca="1" si="6"/>
        <v>66</v>
      </c>
      <c r="AJ19" s="54">
        <f t="shared" ca="1" si="6"/>
        <v>76</v>
      </c>
      <c r="AK19" s="54">
        <f t="shared" ca="1" si="6"/>
        <v>77</v>
      </c>
      <c r="AL19" s="54">
        <f t="shared" ca="1" si="6"/>
        <v>79</v>
      </c>
      <c r="AM19" s="54">
        <f t="shared" ca="1" si="6"/>
        <v>109</v>
      </c>
      <c r="AN19" s="54">
        <f t="shared" ca="1" si="6"/>
        <v>70</v>
      </c>
      <c r="AO19" s="54">
        <f t="shared" ca="1" si="6"/>
        <v>70</v>
      </c>
      <c r="AP19" s="54"/>
    </row>
    <row r="20" spans="2:42" x14ac:dyDescent="0.25">
      <c r="B20" s="147"/>
      <c r="C20" s="5" t="s">
        <v>1379</v>
      </c>
      <c r="D20" s="89" t="s">
        <v>1424</v>
      </c>
      <c r="E20" s="96">
        <f>'c30'!F29</f>
        <v>0</v>
      </c>
      <c r="F20" s="96">
        <f t="shared" ca="1" si="5"/>
        <v>38</v>
      </c>
      <c r="G20" s="96">
        <f t="shared" ca="1" si="5"/>
        <v>40</v>
      </c>
      <c r="H20" s="96">
        <f t="shared" ca="1" si="5"/>
        <v>42</v>
      </c>
      <c r="I20" s="96">
        <f t="shared" ca="1" si="5"/>
        <v>42</v>
      </c>
      <c r="J20" s="96">
        <f t="shared" ca="1" si="5"/>
        <v>42</v>
      </c>
      <c r="K20" s="96">
        <f t="shared" ca="1" si="5"/>
        <v>44</v>
      </c>
      <c r="L20" s="96">
        <f t="shared" ca="1" si="5"/>
        <v>46</v>
      </c>
      <c r="M20" s="96">
        <f t="shared" ca="1" si="5"/>
        <v>45</v>
      </c>
      <c r="N20" s="96">
        <f t="shared" ca="1" si="5"/>
        <v>50</v>
      </c>
      <c r="O20" s="96">
        <f t="shared" ca="1" si="5"/>
        <v>52</v>
      </c>
      <c r="P20" s="96">
        <f t="shared" ca="1" si="5"/>
        <v>51</v>
      </c>
      <c r="Q20" s="96">
        <f t="shared" ca="1" si="5"/>
        <v>51</v>
      </c>
      <c r="R20" s="96">
        <f t="shared" ca="1" si="5"/>
        <v>54</v>
      </c>
      <c r="S20" s="96">
        <f t="shared" ca="1" si="5"/>
        <v>53</v>
      </c>
      <c r="T20" s="96">
        <f t="shared" ca="1" si="5"/>
        <v>56</v>
      </c>
      <c r="U20" s="96">
        <f t="shared" ca="1" si="5"/>
        <v>62</v>
      </c>
      <c r="V20" s="96">
        <f t="shared" ca="1" si="5"/>
        <v>61</v>
      </c>
      <c r="W20" s="96">
        <f t="shared" ca="1" si="5"/>
        <v>87</v>
      </c>
      <c r="X20" s="96">
        <f t="shared" ca="1" si="5"/>
        <v>0</v>
      </c>
      <c r="Y20" s="96">
        <f t="shared" ca="1" si="5"/>
        <v>0</v>
      </c>
      <c r="Z20" s="96">
        <f t="shared" ca="1" si="5"/>
        <v>0</v>
      </c>
      <c r="AA20" s="96">
        <f t="shared" ref="AA20:AA28" ca="1" si="7">INDIRECT(CONCATENATE("'",AA$2,"'!",$D20))</f>
        <v>0</v>
      </c>
      <c r="AB20" s="96">
        <f t="shared" ca="1" si="6"/>
        <v>0</v>
      </c>
      <c r="AC20" s="96">
        <f t="shared" ca="1" si="6"/>
        <v>0</v>
      </c>
      <c r="AD20" s="96">
        <f t="shared" ca="1" si="6"/>
        <v>0</v>
      </c>
      <c r="AE20" s="96">
        <f t="shared" ca="1" si="6"/>
        <v>0</v>
      </c>
      <c r="AF20" s="96">
        <f t="shared" ca="1" si="6"/>
        <v>0</v>
      </c>
      <c r="AG20" s="96">
        <f t="shared" ca="1" si="6"/>
        <v>0</v>
      </c>
      <c r="AH20" s="96">
        <f t="shared" ca="1" si="6"/>
        <v>96</v>
      </c>
      <c r="AI20" s="96">
        <f t="shared" ca="1" si="6"/>
        <v>99</v>
      </c>
      <c r="AJ20" s="96">
        <f t="shared" ca="1" si="6"/>
        <v>104</v>
      </c>
      <c r="AK20" s="96">
        <f t="shared" ca="1" si="6"/>
        <v>102</v>
      </c>
      <c r="AL20" s="96">
        <f t="shared" ca="1" si="6"/>
        <v>111</v>
      </c>
      <c r="AM20" s="96">
        <f t="shared" ca="1" si="6"/>
        <v>120</v>
      </c>
      <c r="AN20" s="96">
        <f t="shared" ca="1" si="6"/>
        <v>105</v>
      </c>
      <c r="AO20" s="96">
        <f t="shared" ca="1" si="6"/>
        <v>105</v>
      </c>
      <c r="AP20" s="54"/>
    </row>
    <row r="21" spans="2:42" x14ac:dyDescent="0.25">
      <c r="B21" s="147"/>
      <c r="C21" s="95" t="s">
        <v>1446</v>
      </c>
      <c r="D21" s="89" t="s">
        <v>1423</v>
      </c>
      <c r="E21" s="54">
        <f>'c30'!F30</f>
        <v>0</v>
      </c>
      <c r="F21" s="54">
        <f t="shared" ca="1" si="5"/>
        <v>0</v>
      </c>
      <c r="G21" s="54">
        <f t="shared" ca="1" si="5"/>
        <v>0</v>
      </c>
      <c r="H21" s="54">
        <f t="shared" ca="1" si="5"/>
        <v>0</v>
      </c>
      <c r="I21" s="54">
        <f t="shared" ca="1" si="5"/>
        <v>0</v>
      </c>
      <c r="J21" s="54">
        <f t="shared" ca="1" si="5"/>
        <v>0</v>
      </c>
      <c r="K21" s="54">
        <f t="shared" ca="1" si="5"/>
        <v>0</v>
      </c>
      <c r="L21" s="54">
        <f t="shared" ca="1" si="5"/>
        <v>0</v>
      </c>
      <c r="M21" s="54">
        <f t="shared" ca="1" si="5"/>
        <v>0</v>
      </c>
      <c r="N21" s="54">
        <f t="shared" ca="1" si="5"/>
        <v>0</v>
      </c>
      <c r="O21" s="54">
        <f t="shared" ca="1" si="5"/>
        <v>0</v>
      </c>
      <c r="P21" s="54">
        <f t="shared" ca="1" si="5"/>
        <v>0</v>
      </c>
      <c r="Q21" s="54">
        <f t="shared" ca="1" si="5"/>
        <v>0</v>
      </c>
      <c r="R21" s="54">
        <f t="shared" ca="1" si="5"/>
        <v>0</v>
      </c>
      <c r="S21" s="54">
        <f t="shared" ca="1" si="5"/>
        <v>0</v>
      </c>
      <c r="T21" s="54">
        <f t="shared" ca="1" si="5"/>
        <v>0</v>
      </c>
      <c r="U21" s="54">
        <f t="shared" ca="1" si="5"/>
        <v>0</v>
      </c>
      <c r="V21" s="54">
        <f t="shared" ca="1" si="5"/>
        <v>2.1</v>
      </c>
      <c r="W21" s="54">
        <f t="shared" ca="1" si="5"/>
        <v>0</v>
      </c>
      <c r="X21" s="54">
        <f t="shared" ca="1" si="5"/>
        <v>64</v>
      </c>
      <c r="Y21" s="54">
        <f t="shared" ca="1" si="5"/>
        <v>62</v>
      </c>
      <c r="Z21" s="54">
        <f t="shared" ca="1" si="5"/>
        <v>60</v>
      </c>
      <c r="AA21" s="54">
        <f t="shared" ca="1" si="7"/>
        <v>92</v>
      </c>
      <c r="AB21" s="54">
        <f t="shared" ca="1" si="6"/>
        <v>62</v>
      </c>
      <c r="AC21" s="54">
        <f t="shared" ca="1" si="6"/>
        <v>62</v>
      </c>
      <c r="AD21" s="54">
        <f t="shared" ca="1" si="6"/>
        <v>92</v>
      </c>
      <c r="AE21" s="54">
        <f t="shared" ca="1" si="6"/>
        <v>64</v>
      </c>
      <c r="AF21" s="54">
        <f t="shared" ca="1" si="6"/>
        <v>85</v>
      </c>
      <c r="AG21" s="54">
        <f t="shared" ca="1" si="6"/>
        <v>85</v>
      </c>
      <c r="AH21" s="54">
        <f t="shared" ca="1" si="6"/>
        <v>0</v>
      </c>
      <c r="AI21" s="54">
        <f t="shared" ca="1" si="6"/>
        <v>0</v>
      </c>
      <c r="AJ21" s="54">
        <f t="shared" ca="1" si="6"/>
        <v>0</v>
      </c>
      <c r="AK21" s="54">
        <f t="shared" ca="1" si="6"/>
        <v>0</v>
      </c>
      <c r="AL21" s="54">
        <f t="shared" ca="1" si="6"/>
        <v>0</v>
      </c>
      <c r="AM21" s="54">
        <f t="shared" ca="1" si="6"/>
        <v>0</v>
      </c>
      <c r="AN21" s="54">
        <f t="shared" ca="1" si="6"/>
        <v>0</v>
      </c>
      <c r="AO21" s="54">
        <f t="shared" ca="1" si="6"/>
        <v>0</v>
      </c>
      <c r="AP21" s="54"/>
    </row>
    <row r="22" spans="2:42" x14ac:dyDescent="0.25">
      <c r="B22" s="147"/>
      <c r="C22" s="95" t="s">
        <v>1445</v>
      </c>
      <c r="D22" s="89" t="s">
        <v>1422</v>
      </c>
      <c r="E22" s="96">
        <f>'c30'!F31</f>
        <v>0</v>
      </c>
      <c r="F22" s="96">
        <f t="shared" ca="1" si="5"/>
        <v>0</v>
      </c>
      <c r="G22" s="96">
        <f t="shared" ca="1" si="5"/>
        <v>0</v>
      </c>
      <c r="H22" s="96">
        <f t="shared" ca="1" si="5"/>
        <v>0</v>
      </c>
      <c r="I22" s="96">
        <f t="shared" ca="1" si="5"/>
        <v>0</v>
      </c>
      <c r="J22" s="96">
        <f t="shared" ca="1" si="5"/>
        <v>0</v>
      </c>
      <c r="K22" s="96">
        <f t="shared" ca="1" si="5"/>
        <v>0</v>
      </c>
      <c r="L22" s="96">
        <f t="shared" ca="1" si="5"/>
        <v>0</v>
      </c>
      <c r="M22" s="96">
        <f t="shared" ca="1" si="5"/>
        <v>0</v>
      </c>
      <c r="N22" s="96">
        <f t="shared" ca="1" si="5"/>
        <v>0</v>
      </c>
      <c r="O22" s="96">
        <f t="shared" ca="1" si="5"/>
        <v>0</v>
      </c>
      <c r="P22" s="96">
        <f t="shared" ca="1" si="5"/>
        <v>0</v>
      </c>
      <c r="Q22" s="96">
        <f t="shared" ca="1" si="5"/>
        <v>0</v>
      </c>
      <c r="R22" s="96">
        <f t="shared" ca="1" si="5"/>
        <v>0</v>
      </c>
      <c r="S22" s="96">
        <f t="shared" ca="1" si="5"/>
        <v>0</v>
      </c>
      <c r="T22" s="96">
        <f t="shared" ca="1" si="5"/>
        <v>0</v>
      </c>
      <c r="U22" s="96">
        <f t="shared" ca="1" si="5"/>
        <v>0</v>
      </c>
      <c r="V22" s="96">
        <f t="shared" ca="1" si="5"/>
        <v>2.29</v>
      </c>
      <c r="W22" s="96">
        <f t="shared" ca="1" si="5"/>
        <v>0</v>
      </c>
      <c r="X22" s="96">
        <f t="shared" ca="1" si="5"/>
        <v>87</v>
      </c>
      <c r="Y22" s="96">
        <f t="shared" ca="1" si="5"/>
        <v>61</v>
      </c>
      <c r="Z22" s="96">
        <f t="shared" ca="1" si="5"/>
        <v>90</v>
      </c>
      <c r="AA22" s="96">
        <f t="shared" ca="1" si="7"/>
        <v>91</v>
      </c>
      <c r="AB22" s="96">
        <f t="shared" ca="1" si="6"/>
        <v>93</v>
      </c>
      <c r="AC22" s="96">
        <f t="shared" ca="1" si="6"/>
        <v>93</v>
      </c>
      <c r="AD22" s="96">
        <f t="shared" ca="1" si="6"/>
        <v>99</v>
      </c>
      <c r="AE22" s="96">
        <f t="shared" ca="1" si="6"/>
        <v>96</v>
      </c>
      <c r="AF22" s="96">
        <f t="shared" ca="1" si="6"/>
        <v>96</v>
      </c>
      <c r="AG22" s="96">
        <f t="shared" ca="1" si="6"/>
        <v>96</v>
      </c>
      <c r="AH22" s="96">
        <f t="shared" ca="1" si="6"/>
        <v>0</v>
      </c>
      <c r="AI22" s="96">
        <f t="shared" ca="1" si="6"/>
        <v>0</v>
      </c>
      <c r="AJ22" s="96">
        <f t="shared" ca="1" si="6"/>
        <v>0</v>
      </c>
      <c r="AK22" s="96">
        <f t="shared" ca="1" si="6"/>
        <v>0</v>
      </c>
      <c r="AL22" s="96">
        <f t="shared" ca="1" si="6"/>
        <v>0</v>
      </c>
      <c r="AM22" s="96">
        <f t="shared" ca="1" si="6"/>
        <v>0</v>
      </c>
      <c r="AN22" s="96">
        <f t="shared" ca="1" si="6"/>
        <v>0</v>
      </c>
      <c r="AO22" s="96">
        <f t="shared" ca="1" si="6"/>
        <v>0</v>
      </c>
      <c r="AP22" s="54"/>
    </row>
    <row r="23" spans="2:42" x14ac:dyDescent="0.25">
      <c r="B23" s="147"/>
      <c r="C23" s="5" t="s">
        <v>1382</v>
      </c>
      <c r="D23" s="89" t="s">
        <v>1421</v>
      </c>
      <c r="E23" s="54">
        <f>'c30'!F32</f>
        <v>0</v>
      </c>
      <c r="F23" s="54">
        <f t="shared" ca="1" si="5"/>
        <v>15</v>
      </c>
      <c r="G23" s="54">
        <f t="shared" ca="1" si="5"/>
        <v>16</v>
      </c>
      <c r="H23" s="54">
        <f t="shared" ca="1" si="5"/>
        <v>16</v>
      </c>
      <c r="I23" s="54">
        <f t="shared" ca="1" si="5"/>
        <v>25</v>
      </c>
      <c r="J23" s="54">
        <f t="shared" ca="1" si="5"/>
        <v>8</v>
      </c>
      <c r="K23" s="54">
        <f t="shared" ca="1" si="5"/>
        <v>24</v>
      </c>
      <c r="L23" s="54">
        <f t="shared" ca="1" si="5"/>
        <v>9</v>
      </c>
      <c r="M23" s="54">
        <f t="shared" ca="1" si="5"/>
        <v>2</v>
      </c>
      <c r="N23" s="54">
        <f t="shared" ca="1" si="5"/>
        <v>11</v>
      </c>
      <c r="O23" s="54">
        <f t="shared" ca="1" si="5"/>
        <v>14</v>
      </c>
      <c r="P23" s="54">
        <f t="shared" ca="1" si="5"/>
        <v>10</v>
      </c>
      <c r="Q23" s="54">
        <f t="shared" ca="1" si="5"/>
        <v>8</v>
      </c>
      <c r="R23" s="54">
        <f t="shared" ca="1" si="5"/>
        <v>10</v>
      </c>
      <c r="S23" s="54">
        <f t="shared" ca="1" si="5"/>
        <v>14</v>
      </c>
      <c r="T23" s="54">
        <f t="shared" ca="1" si="5"/>
        <v>13</v>
      </c>
      <c r="U23" s="54">
        <f t="shared" ca="1" si="5"/>
        <v>12</v>
      </c>
      <c r="V23" s="54">
        <f t="shared" ca="1" si="5"/>
        <v>10</v>
      </c>
      <c r="W23" s="54">
        <f t="shared" ca="1" si="5"/>
        <v>0</v>
      </c>
      <c r="X23" s="54">
        <f t="shared" ca="1" si="5"/>
        <v>0</v>
      </c>
      <c r="Y23" s="54">
        <f t="shared" ca="1" si="5"/>
        <v>0</v>
      </c>
      <c r="Z23" s="54">
        <f t="shared" ca="1" si="5"/>
        <v>0</v>
      </c>
      <c r="AA23" s="54">
        <f t="shared" ca="1" si="7"/>
        <v>0</v>
      </c>
      <c r="AB23" s="54">
        <f t="shared" ca="1" si="6"/>
        <v>0</v>
      </c>
      <c r="AC23" s="54">
        <f t="shared" ca="1" si="6"/>
        <v>0</v>
      </c>
      <c r="AD23" s="54">
        <f t="shared" ca="1" si="6"/>
        <v>0</v>
      </c>
      <c r="AE23" s="54">
        <f t="shared" ca="1" si="6"/>
        <v>0</v>
      </c>
      <c r="AF23" s="54">
        <f t="shared" ca="1" si="6"/>
        <v>0</v>
      </c>
      <c r="AG23" s="54">
        <f t="shared" ca="1" si="6"/>
        <v>0</v>
      </c>
      <c r="AH23" s="54">
        <f t="shared" ca="1" si="6"/>
        <v>13</v>
      </c>
      <c r="AI23" s="54">
        <f t="shared" ca="1" si="6"/>
        <v>0</v>
      </c>
      <c r="AJ23" s="54">
        <f t="shared" ca="1" si="6"/>
        <v>26</v>
      </c>
      <c r="AK23" s="54">
        <f t="shared" ca="1" si="6"/>
        <v>26</v>
      </c>
      <c r="AL23" s="54">
        <f t="shared" ca="1" si="6"/>
        <v>33</v>
      </c>
      <c r="AM23" s="54">
        <f t="shared" ca="1" si="6"/>
        <v>28</v>
      </c>
      <c r="AN23" s="54">
        <f t="shared" ca="1" si="6"/>
        <v>30</v>
      </c>
      <c r="AO23" s="54">
        <f t="shared" ca="1" si="6"/>
        <v>30</v>
      </c>
      <c r="AP23" s="54"/>
    </row>
    <row r="24" spans="2:42" x14ac:dyDescent="0.25">
      <c r="B24" s="147"/>
      <c r="C24" s="95" t="s">
        <v>1375</v>
      </c>
      <c r="D24" s="89" t="s">
        <v>1420</v>
      </c>
      <c r="E24" s="96">
        <f>'c30'!F33</f>
        <v>9</v>
      </c>
      <c r="F24" s="96">
        <f t="shared" ca="1" si="5"/>
        <v>17</v>
      </c>
      <c r="G24" s="96">
        <f t="shared" ca="1" si="5"/>
        <v>14</v>
      </c>
      <c r="H24" s="96">
        <f t="shared" ca="1" si="5"/>
        <v>14</v>
      </c>
      <c r="I24" s="96">
        <f t="shared" ca="1" si="5"/>
        <v>19</v>
      </c>
      <c r="J24" s="96">
        <f t="shared" ca="1" si="5"/>
        <v>8</v>
      </c>
      <c r="K24" s="96">
        <f t="shared" ca="1" si="5"/>
        <v>19</v>
      </c>
      <c r="L24" s="96">
        <f t="shared" ca="1" si="5"/>
        <v>10</v>
      </c>
      <c r="M24" s="96">
        <f t="shared" ca="1" si="5"/>
        <v>13</v>
      </c>
      <c r="N24" s="96">
        <f t="shared" ca="1" si="5"/>
        <v>16</v>
      </c>
      <c r="O24" s="96">
        <f t="shared" ca="1" si="5"/>
        <v>4</v>
      </c>
      <c r="P24" s="96">
        <f t="shared" ca="1" si="5"/>
        <v>17</v>
      </c>
      <c r="Q24" s="96">
        <f t="shared" ca="1" si="5"/>
        <v>11</v>
      </c>
      <c r="R24" s="96">
        <f t="shared" ca="1" si="5"/>
        <v>22</v>
      </c>
      <c r="S24" s="96">
        <f t="shared" ca="1" si="5"/>
        <v>16</v>
      </c>
      <c r="T24" s="96">
        <f t="shared" ca="1" si="5"/>
        <v>21</v>
      </c>
      <c r="U24" s="96">
        <f t="shared" ca="1" si="5"/>
        <v>13</v>
      </c>
      <c r="V24" s="96">
        <f t="shared" ca="1" si="5"/>
        <v>13</v>
      </c>
      <c r="W24" s="96">
        <f t="shared" ca="1" si="5"/>
        <v>0</v>
      </c>
      <c r="X24" s="96">
        <f t="shared" ca="1" si="5"/>
        <v>0</v>
      </c>
      <c r="Y24" s="96">
        <f t="shared" ca="1" si="5"/>
        <v>0</v>
      </c>
      <c r="Z24" s="96">
        <f t="shared" ca="1" si="5"/>
        <v>0</v>
      </c>
      <c r="AA24" s="96">
        <f t="shared" ca="1" si="7"/>
        <v>0</v>
      </c>
      <c r="AB24" s="96">
        <f t="shared" ca="1" si="6"/>
        <v>0</v>
      </c>
      <c r="AC24" s="96">
        <f t="shared" ca="1" si="6"/>
        <v>0</v>
      </c>
      <c r="AD24" s="96">
        <f t="shared" ca="1" si="6"/>
        <v>0</v>
      </c>
      <c r="AE24" s="96">
        <f t="shared" ca="1" si="6"/>
        <v>0</v>
      </c>
      <c r="AF24" s="96">
        <f t="shared" ca="1" si="6"/>
        <v>0</v>
      </c>
      <c r="AG24" s="96">
        <f t="shared" ca="1" si="6"/>
        <v>0</v>
      </c>
      <c r="AH24" s="96">
        <f t="shared" ca="1" si="6"/>
        <v>13</v>
      </c>
      <c r="AI24" s="96">
        <f t="shared" ca="1" si="6"/>
        <v>0</v>
      </c>
      <c r="AJ24" s="96">
        <f t="shared" ca="1" si="6"/>
        <v>21</v>
      </c>
      <c r="AK24" s="96">
        <f t="shared" ca="1" si="6"/>
        <v>21</v>
      </c>
      <c r="AL24" s="96">
        <f t="shared" ca="1" si="6"/>
        <v>31</v>
      </c>
      <c r="AM24" s="96">
        <f t="shared" ca="1" si="6"/>
        <v>31</v>
      </c>
      <c r="AN24" s="96">
        <f t="shared" ca="1" si="6"/>
        <v>30</v>
      </c>
      <c r="AO24" s="96">
        <f t="shared" ca="1" si="6"/>
        <v>30</v>
      </c>
      <c r="AP24" s="54"/>
    </row>
    <row r="25" spans="2:42" x14ac:dyDescent="0.25">
      <c r="B25" s="147"/>
      <c r="C25" s="5" t="s">
        <v>1384</v>
      </c>
      <c r="D25" s="89" t="s">
        <v>1428</v>
      </c>
      <c r="E25" s="54">
        <f>'c30'!H26</f>
        <v>50000</v>
      </c>
      <c r="F25" s="54">
        <f t="shared" ca="1" si="5"/>
        <v>61961</v>
      </c>
      <c r="G25" s="54">
        <f t="shared" ca="1" si="5"/>
        <v>35979</v>
      </c>
      <c r="H25" s="54">
        <f t="shared" ca="1" si="5"/>
        <v>18640</v>
      </c>
      <c r="I25" s="54">
        <f t="shared" ca="1" si="5"/>
        <v>100846</v>
      </c>
      <c r="J25" s="54">
        <f t="shared" ca="1" si="5"/>
        <v>66606</v>
      </c>
      <c r="K25" s="54">
        <f t="shared" ca="1" si="5"/>
        <v>146453</v>
      </c>
      <c r="L25" s="54">
        <f t="shared" ca="1" si="5"/>
        <v>200923</v>
      </c>
      <c r="M25" s="54">
        <f t="shared" ca="1" si="5"/>
        <v>52140</v>
      </c>
      <c r="N25" s="54">
        <f t="shared" ca="1" si="5"/>
        <v>1051872</v>
      </c>
      <c r="O25" s="54">
        <f t="shared" ca="1" si="5"/>
        <v>1536958</v>
      </c>
      <c r="P25" s="54">
        <f t="shared" ca="1" si="5"/>
        <v>971708</v>
      </c>
      <c r="Q25" s="54">
        <f t="shared" ca="1" si="5"/>
        <v>2500740</v>
      </c>
      <c r="R25" s="54">
        <f t="shared" ca="1" si="5"/>
        <v>148735</v>
      </c>
      <c r="S25" s="54">
        <f t="shared" ca="1" si="5"/>
        <v>3683755</v>
      </c>
      <c r="T25" s="54">
        <f t="shared" ca="1" si="5"/>
        <v>1422541</v>
      </c>
      <c r="U25" s="54">
        <f t="shared" ca="1" si="5"/>
        <v>10664570</v>
      </c>
      <c r="V25" s="54">
        <f t="shared" ca="1" si="5"/>
        <v>0</v>
      </c>
      <c r="W25" s="54">
        <f t="shared" ca="1" si="5"/>
        <v>0</v>
      </c>
      <c r="X25" s="54">
        <f t="shared" ca="1" si="5"/>
        <v>0</v>
      </c>
      <c r="Y25" s="54">
        <f t="shared" ca="1" si="5"/>
        <v>0</v>
      </c>
      <c r="Z25" s="54">
        <f t="shared" ca="1" si="5"/>
        <v>0</v>
      </c>
      <c r="AA25" s="54">
        <f t="shared" ca="1" si="7"/>
        <v>0</v>
      </c>
      <c r="AB25" s="54">
        <f t="shared" ca="1" si="6"/>
        <v>0</v>
      </c>
      <c r="AC25" s="54">
        <f t="shared" ca="1" si="6"/>
        <v>0</v>
      </c>
      <c r="AD25" s="54">
        <f t="shared" ca="1" si="6"/>
        <v>0</v>
      </c>
      <c r="AE25" s="54">
        <f t="shared" ca="1" si="6"/>
        <v>0</v>
      </c>
      <c r="AF25" s="54">
        <f t="shared" ca="1" si="6"/>
        <v>0</v>
      </c>
      <c r="AG25" s="54">
        <f t="shared" ca="1" si="6"/>
        <v>0</v>
      </c>
      <c r="AH25" s="54">
        <f t="shared" ca="1" si="6"/>
        <v>0</v>
      </c>
      <c r="AI25" s="54">
        <f t="shared" ca="1" si="6"/>
        <v>0</v>
      </c>
      <c r="AJ25" s="54">
        <f t="shared" ca="1" si="6"/>
        <v>0</v>
      </c>
      <c r="AK25" s="54">
        <f t="shared" ca="1" si="6"/>
        <v>0</v>
      </c>
      <c r="AL25" s="54">
        <f t="shared" ca="1" si="6"/>
        <v>0</v>
      </c>
      <c r="AM25" s="54">
        <f t="shared" ca="1" si="6"/>
        <v>0</v>
      </c>
      <c r="AN25" s="54">
        <f t="shared" ca="1" si="6"/>
        <v>0</v>
      </c>
      <c r="AO25" s="54">
        <f t="shared" ca="1" si="6"/>
        <v>0</v>
      </c>
      <c r="AP25" s="54"/>
    </row>
    <row r="26" spans="2:42" x14ac:dyDescent="0.25">
      <c r="B26" s="147"/>
      <c r="C26" s="5" t="s">
        <v>1383</v>
      </c>
      <c r="D26" s="89" t="s">
        <v>1427</v>
      </c>
      <c r="E26" s="96">
        <f>'c30'!H27</f>
        <v>1000</v>
      </c>
      <c r="F26" s="96">
        <f t="shared" ca="1" si="5"/>
        <v>2000</v>
      </c>
      <c r="G26" s="96">
        <f t="shared" ca="1" si="5"/>
        <v>1000</v>
      </c>
      <c r="H26" s="96">
        <f t="shared" ca="1" si="5"/>
        <v>1000</v>
      </c>
      <c r="I26" s="96">
        <f t="shared" ca="1" si="5"/>
        <v>1000</v>
      </c>
      <c r="J26" s="96">
        <f t="shared" ca="1" si="5"/>
        <v>5000</v>
      </c>
      <c r="K26" s="96">
        <f t="shared" ca="1" si="5"/>
        <v>1000</v>
      </c>
      <c r="L26" s="96">
        <f t="shared" ca="1" si="5"/>
        <v>10000</v>
      </c>
      <c r="M26" s="96">
        <f t="shared" ca="1" si="5"/>
        <v>2000</v>
      </c>
      <c r="N26" s="96">
        <f t="shared" ca="1" si="5"/>
        <v>10000</v>
      </c>
      <c r="O26" s="96">
        <f t="shared" ca="1" si="5"/>
        <v>5000</v>
      </c>
      <c r="P26" s="96">
        <f t="shared" ca="1" si="5"/>
        <v>10000</v>
      </c>
      <c r="Q26" s="96">
        <f t="shared" ca="1" si="5"/>
        <v>2000</v>
      </c>
      <c r="R26" s="96">
        <f t="shared" ca="1" si="5"/>
        <v>1000</v>
      </c>
      <c r="S26" s="96">
        <f t="shared" ca="1" si="5"/>
        <v>5000</v>
      </c>
      <c r="T26" s="96">
        <f t="shared" ca="1" si="5"/>
        <v>10000</v>
      </c>
      <c r="U26" s="96">
        <f t="shared" ca="1" si="5"/>
        <v>10000</v>
      </c>
      <c r="V26" s="96">
        <f t="shared" ca="1" si="5"/>
        <v>10000</v>
      </c>
      <c r="W26" s="96">
        <f t="shared" ca="1" si="5"/>
        <v>0</v>
      </c>
      <c r="X26" s="96">
        <f t="shared" ca="1" si="5"/>
        <v>0</v>
      </c>
      <c r="Y26" s="96">
        <f t="shared" ca="1" si="5"/>
        <v>0</v>
      </c>
      <c r="Z26" s="96">
        <f t="shared" ca="1" si="5"/>
        <v>0</v>
      </c>
      <c r="AA26" s="96">
        <f t="shared" ca="1" si="7"/>
        <v>0</v>
      </c>
      <c r="AB26" s="96">
        <f t="shared" ca="1" si="6"/>
        <v>0</v>
      </c>
      <c r="AC26" s="96">
        <f t="shared" ca="1" si="6"/>
        <v>0</v>
      </c>
      <c r="AD26" s="96">
        <f t="shared" ca="1" si="6"/>
        <v>0</v>
      </c>
      <c r="AE26" s="96">
        <f t="shared" ca="1" si="6"/>
        <v>0</v>
      </c>
      <c r="AF26" s="96">
        <f t="shared" ca="1" si="6"/>
        <v>0</v>
      </c>
      <c r="AG26" s="96">
        <f t="shared" ca="1" si="6"/>
        <v>0</v>
      </c>
      <c r="AH26" s="96">
        <f t="shared" ca="1" si="6"/>
        <v>10000</v>
      </c>
      <c r="AI26" s="96">
        <f t="shared" ca="1" si="6"/>
        <v>10000</v>
      </c>
      <c r="AJ26" s="96">
        <f t="shared" ca="1" si="6"/>
        <v>10000</v>
      </c>
      <c r="AK26" s="96">
        <f t="shared" ca="1" si="6"/>
        <v>10000</v>
      </c>
      <c r="AL26" s="96">
        <f t="shared" ca="1" si="6"/>
        <v>10000</v>
      </c>
      <c r="AM26" s="96">
        <f t="shared" ca="1" si="6"/>
        <v>10000</v>
      </c>
      <c r="AN26" s="96">
        <f t="shared" ca="1" si="6"/>
        <v>10000</v>
      </c>
      <c r="AO26" s="96">
        <f t="shared" ca="1" si="6"/>
        <v>10000</v>
      </c>
      <c r="AP26" s="54"/>
    </row>
    <row r="27" spans="2:42" x14ac:dyDescent="0.25">
      <c r="B27" s="147"/>
      <c r="C27" s="5" t="s">
        <v>1373</v>
      </c>
      <c r="D27" s="89" t="s">
        <v>1481</v>
      </c>
      <c r="E27" s="54">
        <f>'c30'!H28</f>
        <v>0</v>
      </c>
      <c r="F27" s="54">
        <f t="shared" ca="1" si="5"/>
        <v>0</v>
      </c>
      <c r="G27" s="54">
        <f t="shared" ca="1" si="5"/>
        <v>0</v>
      </c>
      <c r="H27" s="54">
        <f t="shared" ca="1" si="5"/>
        <v>0</v>
      </c>
      <c r="I27" s="54">
        <f t="shared" ca="1" si="5"/>
        <v>0</v>
      </c>
      <c r="J27" s="54">
        <f t="shared" ca="1" si="5"/>
        <v>0</v>
      </c>
      <c r="K27" s="54">
        <f t="shared" ca="1" si="5"/>
        <v>0</v>
      </c>
      <c r="L27" s="54">
        <f t="shared" ca="1" si="5"/>
        <v>2</v>
      </c>
      <c r="M27" s="54">
        <f t="shared" ca="1" si="5"/>
        <v>0</v>
      </c>
      <c r="N27" s="54">
        <f t="shared" ca="1" si="5"/>
        <v>0</v>
      </c>
      <c r="O27" s="54">
        <f t="shared" ca="1" si="5"/>
        <v>0</v>
      </c>
      <c r="P27" s="54">
        <f t="shared" ca="1" si="5"/>
        <v>0</v>
      </c>
      <c r="Q27" s="54">
        <f t="shared" ca="1" si="5"/>
        <v>0</v>
      </c>
      <c r="R27" s="54">
        <f t="shared" ca="1" si="5"/>
        <v>0</v>
      </c>
      <c r="S27" s="54">
        <f t="shared" ca="1" si="5"/>
        <v>0</v>
      </c>
      <c r="T27" s="54">
        <f t="shared" ca="1" si="5"/>
        <v>0</v>
      </c>
      <c r="U27" s="54">
        <f t="shared" ca="1" si="5"/>
        <v>0</v>
      </c>
      <c r="V27" s="54">
        <f t="shared" ca="1" si="5"/>
        <v>0</v>
      </c>
      <c r="W27" s="54">
        <f t="shared" ca="1" si="5"/>
        <v>0</v>
      </c>
      <c r="X27" s="54">
        <f t="shared" ca="1" si="5"/>
        <v>0</v>
      </c>
      <c r="Y27" s="54">
        <f t="shared" ca="1" si="5"/>
        <v>0</v>
      </c>
      <c r="Z27" s="54">
        <f t="shared" ca="1" si="5"/>
        <v>0</v>
      </c>
      <c r="AA27" s="54">
        <f t="shared" ca="1" si="7"/>
        <v>0</v>
      </c>
      <c r="AB27" s="54">
        <f t="shared" ca="1" si="6"/>
        <v>0</v>
      </c>
      <c r="AC27" s="54">
        <f t="shared" ca="1" si="6"/>
        <v>0</v>
      </c>
      <c r="AD27" s="54">
        <f t="shared" ca="1" si="6"/>
        <v>0</v>
      </c>
      <c r="AE27" s="54">
        <f t="shared" ca="1" si="6"/>
        <v>0</v>
      </c>
      <c r="AF27" s="54">
        <f t="shared" ca="1" si="6"/>
        <v>0</v>
      </c>
      <c r="AG27" s="54">
        <f t="shared" ca="1" si="6"/>
        <v>0</v>
      </c>
      <c r="AH27" s="54">
        <f t="shared" ca="1" si="6"/>
        <v>0</v>
      </c>
      <c r="AI27" s="54">
        <f t="shared" ca="1" si="6"/>
        <v>0</v>
      </c>
      <c r="AJ27" s="54">
        <f t="shared" ca="1" si="6"/>
        <v>0</v>
      </c>
      <c r="AK27" s="54">
        <f t="shared" ca="1" si="6"/>
        <v>0</v>
      </c>
      <c r="AL27" s="54">
        <f t="shared" ca="1" si="6"/>
        <v>0</v>
      </c>
      <c r="AM27" s="54">
        <f t="shared" ca="1" si="6"/>
        <v>0</v>
      </c>
      <c r="AN27" s="54">
        <f t="shared" ca="1" si="6"/>
        <v>0</v>
      </c>
      <c r="AO27" s="54">
        <f t="shared" ca="1" si="6"/>
        <v>0</v>
      </c>
      <c r="AP27" s="54"/>
    </row>
    <row r="28" spans="2:42" x14ac:dyDescent="0.25">
      <c r="B28" s="147"/>
      <c r="C28" s="5" t="s">
        <v>1402</v>
      </c>
      <c r="D28" s="89" t="s">
        <v>1427</v>
      </c>
      <c r="E28" s="96">
        <f>'c30'!H29</f>
        <v>30000</v>
      </c>
      <c r="F28" s="96">
        <f t="shared" ca="1" si="5"/>
        <v>2000</v>
      </c>
      <c r="G28" s="96">
        <f t="shared" ca="1" si="5"/>
        <v>1000</v>
      </c>
      <c r="H28" s="96">
        <f t="shared" ca="1" si="5"/>
        <v>1000</v>
      </c>
      <c r="I28" s="96">
        <f t="shared" ca="1" si="5"/>
        <v>1000</v>
      </c>
      <c r="J28" s="96">
        <f t="shared" ca="1" si="5"/>
        <v>5000</v>
      </c>
      <c r="K28" s="96">
        <f t="shared" ca="1" si="5"/>
        <v>1000</v>
      </c>
      <c r="L28" s="96">
        <f t="shared" ca="1" si="5"/>
        <v>10000</v>
      </c>
      <c r="M28" s="96">
        <f t="shared" ca="1" si="5"/>
        <v>2000</v>
      </c>
      <c r="N28" s="96">
        <f t="shared" ca="1" si="5"/>
        <v>10000</v>
      </c>
      <c r="O28" s="96">
        <f t="shared" ca="1" si="5"/>
        <v>5000</v>
      </c>
      <c r="P28" s="96">
        <f t="shared" ca="1" si="5"/>
        <v>10000</v>
      </c>
      <c r="Q28" s="96">
        <f t="shared" ca="1" si="5"/>
        <v>2000</v>
      </c>
      <c r="R28" s="96">
        <f t="shared" ca="1" si="5"/>
        <v>1000</v>
      </c>
      <c r="S28" s="96">
        <f t="shared" ca="1" si="5"/>
        <v>5000</v>
      </c>
      <c r="T28" s="96">
        <f t="shared" ca="1" si="5"/>
        <v>10000</v>
      </c>
      <c r="U28" s="96">
        <f t="shared" ca="1" si="5"/>
        <v>10000</v>
      </c>
      <c r="V28" s="96">
        <f t="shared" ca="1" si="5"/>
        <v>10000</v>
      </c>
      <c r="W28" s="96">
        <f t="shared" ca="1" si="5"/>
        <v>0</v>
      </c>
      <c r="X28" s="96">
        <f t="shared" ca="1" si="5"/>
        <v>0</v>
      </c>
      <c r="Y28" s="96">
        <f t="shared" ca="1" si="5"/>
        <v>0</v>
      </c>
      <c r="Z28" s="96">
        <f t="shared" ca="1" si="5"/>
        <v>0</v>
      </c>
      <c r="AA28" s="96">
        <f t="shared" ca="1" si="7"/>
        <v>0</v>
      </c>
      <c r="AB28" s="96">
        <f t="shared" ca="1" si="6"/>
        <v>0</v>
      </c>
      <c r="AC28" s="96">
        <f t="shared" ca="1" si="6"/>
        <v>0</v>
      </c>
      <c r="AD28" s="96">
        <f t="shared" ca="1" si="6"/>
        <v>0</v>
      </c>
      <c r="AE28" s="96">
        <f t="shared" ca="1" si="6"/>
        <v>0</v>
      </c>
      <c r="AF28" s="96">
        <f t="shared" ca="1" si="6"/>
        <v>0</v>
      </c>
      <c r="AG28" s="96">
        <f t="shared" ca="1" si="6"/>
        <v>0</v>
      </c>
      <c r="AH28" s="96">
        <f t="shared" ca="1" si="6"/>
        <v>10000</v>
      </c>
      <c r="AI28" s="96">
        <f t="shared" ca="1" si="6"/>
        <v>10000</v>
      </c>
      <c r="AJ28" s="96">
        <f t="shared" ca="1" si="6"/>
        <v>10000</v>
      </c>
      <c r="AK28" s="96">
        <f t="shared" ca="1" si="6"/>
        <v>10000</v>
      </c>
      <c r="AL28" s="96">
        <f t="shared" ca="1" si="6"/>
        <v>10000</v>
      </c>
      <c r="AM28" s="96">
        <f t="shared" ca="1" si="6"/>
        <v>10000</v>
      </c>
      <c r="AN28" s="96">
        <f t="shared" ca="1" si="6"/>
        <v>10000</v>
      </c>
      <c r="AO28" s="96">
        <f t="shared" ca="1" si="6"/>
        <v>10000</v>
      </c>
      <c r="AP28" s="54"/>
    </row>
    <row r="29" spans="2:42" x14ac:dyDescent="0.25">
      <c r="AP29" s="54"/>
    </row>
    <row r="30" spans="2:42" x14ac:dyDescent="0.25">
      <c r="B30" s="148" t="s">
        <v>46</v>
      </c>
      <c r="C30" s="6" t="s">
        <v>1385</v>
      </c>
      <c r="D30" s="90" t="s">
        <v>1429</v>
      </c>
      <c r="E30" s="54">
        <f>'c30'!F38</f>
        <v>0</v>
      </c>
      <c r="F30" s="54">
        <f t="shared" ref="F30:AO34" ca="1" si="8">INDIRECT(CONCATENATE("'",F$2,"'!",$D30))</f>
        <v>0</v>
      </c>
      <c r="G30" s="54">
        <f t="shared" ca="1" si="8"/>
        <v>0</v>
      </c>
      <c r="H30" s="54">
        <f t="shared" ca="1" si="8"/>
        <v>0</v>
      </c>
      <c r="I30" s="54">
        <f t="shared" ca="1" si="8"/>
        <v>0</v>
      </c>
      <c r="J30" s="54">
        <f t="shared" ca="1" si="8"/>
        <v>0</v>
      </c>
      <c r="K30" s="54">
        <f t="shared" ca="1" si="8"/>
        <v>0</v>
      </c>
      <c r="L30" s="54">
        <f t="shared" ca="1" si="8"/>
        <v>0</v>
      </c>
      <c r="M30" s="54">
        <f t="shared" ca="1" si="8"/>
        <v>0</v>
      </c>
      <c r="N30" s="54">
        <f t="shared" ca="1" si="8"/>
        <v>0</v>
      </c>
      <c r="O30" s="54">
        <f t="shared" ca="1" si="8"/>
        <v>0</v>
      </c>
      <c r="P30" s="54">
        <f t="shared" ca="1" si="8"/>
        <v>0</v>
      </c>
      <c r="Q30" s="54">
        <f t="shared" ca="1" si="8"/>
        <v>0</v>
      </c>
      <c r="R30" s="54">
        <f t="shared" ca="1" si="8"/>
        <v>0</v>
      </c>
      <c r="S30" s="54">
        <f t="shared" ca="1" si="8"/>
        <v>0</v>
      </c>
      <c r="T30" s="54">
        <f t="shared" ca="1" si="8"/>
        <v>0</v>
      </c>
      <c r="U30" s="54">
        <f t="shared" ca="1" si="8"/>
        <v>0</v>
      </c>
      <c r="V30" s="54">
        <f t="shared" ca="1" si="8"/>
        <v>0</v>
      </c>
      <c r="W30" s="54">
        <f t="shared" ca="1" si="8"/>
        <v>0</v>
      </c>
      <c r="X30" s="54">
        <f t="shared" ca="1" si="8"/>
        <v>0</v>
      </c>
      <c r="Y30" s="54">
        <f t="shared" ca="1" si="8"/>
        <v>0</v>
      </c>
      <c r="Z30" s="54">
        <f t="shared" ca="1" si="8"/>
        <v>0</v>
      </c>
      <c r="AA30" s="54">
        <f t="shared" ca="1" si="8"/>
        <v>0</v>
      </c>
      <c r="AB30" s="54">
        <f t="shared" ca="1" si="8"/>
        <v>0</v>
      </c>
      <c r="AC30" s="54">
        <f t="shared" ca="1" si="8"/>
        <v>0</v>
      </c>
      <c r="AD30" s="54">
        <f t="shared" ca="1" si="8"/>
        <v>0</v>
      </c>
      <c r="AE30" s="54">
        <f t="shared" ca="1" si="8"/>
        <v>0</v>
      </c>
      <c r="AF30" s="54">
        <f t="shared" ca="1" si="8"/>
        <v>0</v>
      </c>
      <c r="AG30" s="54">
        <f t="shared" ca="1" si="8"/>
        <v>0</v>
      </c>
      <c r="AH30" s="54">
        <f t="shared" ca="1" si="8"/>
        <v>0</v>
      </c>
      <c r="AI30" s="54">
        <f t="shared" ca="1" si="8"/>
        <v>0</v>
      </c>
      <c r="AJ30" s="54">
        <f t="shared" ca="1" si="8"/>
        <v>0</v>
      </c>
      <c r="AK30" s="54">
        <f t="shared" ca="1" si="8"/>
        <v>0</v>
      </c>
      <c r="AL30" s="54">
        <f t="shared" ca="1" si="8"/>
        <v>0</v>
      </c>
      <c r="AM30" s="54">
        <f t="shared" ca="1" si="8"/>
        <v>0</v>
      </c>
      <c r="AN30" s="54">
        <f t="shared" ca="1" si="8"/>
        <v>0</v>
      </c>
      <c r="AO30" s="54">
        <f t="shared" ca="1" si="8"/>
        <v>0</v>
      </c>
      <c r="AP30" s="54"/>
    </row>
    <row r="31" spans="2:42" x14ac:dyDescent="0.25">
      <c r="B31" s="148"/>
      <c r="C31" s="6" t="s">
        <v>1386</v>
      </c>
      <c r="D31" s="90" t="s">
        <v>1433</v>
      </c>
      <c r="E31" s="96">
        <f>'c30'!F39</f>
        <v>0</v>
      </c>
      <c r="F31" s="96">
        <f t="shared" ca="1" si="8"/>
        <v>0</v>
      </c>
      <c r="G31" s="96">
        <f t="shared" ca="1" si="8"/>
        <v>0</v>
      </c>
      <c r="H31" s="96">
        <f t="shared" ca="1" si="8"/>
        <v>0</v>
      </c>
      <c r="I31" s="96">
        <f t="shared" ca="1" si="8"/>
        <v>0</v>
      </c>
      <c r="J31" s="96">
        <f t="shared" ca="1" si="8"/>
        <v>0</v>
      </c>
      <c r="K31" s="96">
        <f t="shared" ca="1" si="8"/>
        <v>0</v>
      </c>
      <c r="L31" s="96">
        <f t="shared" ca="1" si="8"/>
        <v>0</v>
      </c>
      <c r="M31" s="96">
        <f t="shared" ca="1" si="8"/>
        <v>0</v>
      </c>
      <c r="N31" s="96">
        <f t="shared" ca="1" si="8"/>
        <v>0</v>
      </c>
      <c r="O31" s="96">
        <f t="shared" ca="1" si="8"/>
        <v>0</v>
      </c>
      <c r="P31" s="96">
        <f t="shared" ca="1" si="8"/>
        <v>0</v>
      </c>
      <c r="Q31" s="96">
        <f t="shared" ca="1" si="8"/>
        <v>0</v>
      </c>
      <c r="R31" s="96">
        <f t="shared" ca="1" si="8"/>
        <v>0</v>
      </c>
      <c r="S31" s="96">
        <f t="shared" ca="1" si="8"/>
        <v>0</v>
      </c>
      <c r="T31" s="96">
        <f t="shared" ca="1" si="8"/>
        <v>0</v>
      </c>
      <c r="U31" s="96">
        <f t="shared" ca="1" si="8"/>
        <v>0</v>
      </c>
      <c r="V31" s="96">
        <f t="shared" ca="1" si="8"/>
        <v>0</v>
      </c>
      <c r="W31" s="96">
        <f t="shared" ca="1" si="8"/>
        <v>0</v>
      </c>
      <c r="X31" s="96">
        <f t="shared" ca="1" si="8"/>
        <v>0</v>
      </c>
      <c r="Y31" s="96">
        <f t="shared" ca="1" si="8"/>
        <v>0</v>
      </c>
      <c r="Z31" s="96">
        <f t="shared" ca="1" si="8"/>
        <v>0</v>
      </c>
      <c r="AA31" s="96">
        <f t="shared" ca="1" si="8"/>
        <v>0</v>
      </c>
      <c r="AB31" s="96">
        <f t="shared" ca="1" si="8"/>
        <v>0</v>
      </c>
      <c r="AC31" s="96">
        <f t="shared" ca="1" si="8"/>
        <v>0</v>
      </c>
      <c r="AD31" s="96">
        <f t="shared" ca="1" si="8"/>
        <v>0</v>
      </c>
      <c r="AE31" s="96">
        <f t="shared" ca="1" si="8"/>
        <v>0</v>
      </c>
      <c r="AF31" s="96">
        <f t="shared" ca="1" si="8"/>
        <v>0</v>
      </c>
      <c r="AG31" s="96">
        <f t="shared" ca="1" si="8"/>
        <v>0</v>
      </c>
      <c r="AH31" s="96">
        <f t="shared" ca="1" si="8"/>
        <v>0</v>
      </c>
      <c r="AI31" s="96">
        <f t="shared" ca="1" si="8"/>
        <v>0</v>
      </c>
      <c r="AJ31" s="96">
        <f t="shared" ca="1" si="8"/>
        <v>0</v>
      </c>
      <c r="AK31" s="96">
        <f t="shared" ca="1" si="8"/>
        <v>0</v>
      </c>
      <c r="AL31" s="96">
        <f t="shared" ca="1" si="8"/>
        <v>0</v>
      </c>
      <c r="AM31" s="96">
        <f t="shared" ca="1" si="8"/>
        <v>0</v>
      </c>
      <c r="AN31" s="96">
        <f t="shared" ca="1" si="8"/>
        <v>0</v>
      </c>
      <c r="AO31" s="96">
        <f t="shared" ca="1" si="8"/>
        <v>0</v>
      </c>
      <c r="AP31" s="54"/>
    </row>
    <row r="32" spans="2:42" x14ac:dyDescent="0.25">
      <c r="B32" s="148"/>
      <c r="C32" s="6" t="s">
        <v>1387</v>
      </c>
      <c r="D32" s="90" t="s">
        <v>1432</v>
      </c>
      <c r="E32" s="54">
        <f>'c30'!F40</f>
        <v>0</v>
      </c>
      <c r="F32" s="54">
        <f t="shared" ca="1" si="8"/>
        <v>160</v>
      </c>
      <c r="G32" s="54">
        <f t="shared" ca="1" si="8"/>
        <v>160</v>
      </c>
      <c r="H32" s="54">
        <f t="shared" ca="1" si="8"/>
        <v>160</v>
      </c>
      <c r="I32" s="54">
        <f t="shared" ca="1" si="8"/>
        <v>160</v>
      </c>
      <c r="J32" s="54">
        <f t="shared" ca="1" si="8"/>
        <v>160</v>
      </c>
      <c r="K32" s="54">
        <f t="shared" ca="1" si="8"/>
        <v>160</v>
      </c>
      <c r="L32" s="54">
        <f t="shared" ca="1" si="8"/>
        <v>160</v>
      </c>
      <c r="M32" s="54">
        <f t="shared" ca="1" si="8"/>
        <v>160</v>
      </c>
      <c r="N32" s="54">
        <f t="shared" ca="1" si="8"/>
        <v>160</v>
      </c>
      <c r="O32" s="54">
        <f t="shared" ca="1" si="8"/>
        <v>160</v>
      </c>
      <c r="P32" s="54">
        <f t="shared" ca="1" si="8"/>
        <v>160</v>
      </c>
      <c r="Q32" s="54">
        <f t="shared" ca="1" si="8"/>
        <v>160</v>
      </c>
      <c r="R32" s="54">
        <f t="shared" ca="1" si="8"/>
        <v>160</v>
      </c>
      <c r="S32" s="54">
        <f t="shared" ca="1" si="8"/>
        <v>160</v>
      </c>
      <c r="T32" s="54">
        <f t="shared" ca="1" si="8"/>
        <v>160</v>
      </c>
      <c r="U32" s="54">
        <f t="shared" ca="1" si="8"/>
        <v>160</v>
      </c>
      <c r="V32" s="54">
        <f t="shared" ca="1" si="8"/>
        <v>160</v>
      </c>
      <c r="W32" s="54">
        <f t="shared" ca="1" si="8"/>
        <v>160</v>
      </c>
      <c r="X32" s="54">
        <f t="shared" ca="1" si="8"/>
        <v>0</v>
      </c>
      <c r="Y32" s="54">
        <f t="shared" ca="1" si="8"/>
        <v>0</v>
      </c>
      <c r="Z32" s="54">
        <f t="shared" ca="1" si="8"/>
        <v>0</v>
      </c>
      <c r="AA32" s="54">
        <f t="shared" ca="1" si="8"/>
        <v>0</v>
      </c>
      <c r="AB32" s="54">
        <f t="shared" ca="1" si="8"/>
        <v>0</v>
      </c>
      <c r="AC32" s="54">
        <f t="shared" ca="1" si="8"/>
        <v>0</v>
      </c>
      <c r="AD32" s="54">
        <f t="shared" ca="1" si="8"/>
        <v>0</v>
      </c>
      <c r="AE32" s="54">
        <f t="shared" ca="1" si="8"/>
        <v>0</v>
      </c>
      <c r="AF32" s="54">
        <f t="shared" ca="1" si="8"/>
        <v>0</v>
      </c>
      <c r="AG32" s="54">
        <f t="shared" ca="1" si="8"/>
        <v>0</v>
      </c>
      <c r="AH32" s="54">
        <f t="shared" ca="1" si="8"/>
        <v>160</v>
      </c>
      <c r="AI32" s="54">
        <f t="shared" ca="1" si="8"/>
        <v>160</v>
      </c>
      <c r="AJ32" s="54">
        <f t="shared" ca="1" si="8"/>
        <v>160</v>
      </c>
      <c r="AK32" s="54">
        <f t="shared" ca="1" si="8"/>
        <v>160</v>
      </c>
      <c r="AL32" s="54">
        <f t="shared" ca="1" si="8"/>
        <v>160</v>
      </c>
      <c r="AM32" s="54">
        <f t="shared" ca="1" si="8"/>
        <v>160</v>
      </c>
      <c r="AN32" s="54">
        <f t="shared" ca="1" si="8"/>
        <v>160</v>
      </c>
      <c r="AO32" s="54">
        <f t="shared" ca="1" si="8"/>
        <v>160</v>
      </c>
      <c r="AP32" s="54"/>
    </row>
    <row r="33" spans="2:42" x14ac:dyDescent="0.25">
      <c r="B33" s="148"/>
      <c r="C33" s="6" t="s">
        <v>1388</v>
      </c>
      <c r="D33" s="90" t="s">
        <v>1431</v>
      </c>
      <c r="E33" s="96">
        <f>'c30'!F41</f>
        <v>0</v>
      </c>
      <c r="F33" s="96">
        <f t="shared" ca="1" si="8"/>
        <v>0</v>
      </c>
      <c r="G33" s="96">
        <f t="shared" ca="1" si="8"/>
        <v>0</v>
      </c>
      <c r="H33" s="96">
        <f t="shared" ca="1" si="8"/>
        <v>0</v>
      </c>
      <c r="I33" s="96">
        <f t="shared" ca="1" si="8"/>
        <v>0</v>
      </c>
      <c r="J33" s="96">
        <f t="shared" ca="1" si="8"/>
        <v>0</v>
      </c>
      <c r="K33" s="96">
        <f t="shared" ca="1" si="8"/>
        <v>0</v>
      </c>
      <c r="L33" s="96">
        <f t="shared" ca="1" si="8"/>
        <v>0.1</v>
      </c>
      <c r="M33" s="96">
        <f t="shared" ca="1" si="8"/>
        <v>0</v>
      </c>
      <c r="N33" s="96">
        <f t="shared" ca="1" si="8"/>
        <v>0</v>
      </c>
      <c r="O33" s="96">
        <f t="shared" ca="1" si="8"/>
        <v>0</v>
      </c>
      <c r="P33" s="96">
        <f t="shared" ca="1" si="8"/>
        <v>0</v>
      </c>
      <c r="Q33" s="96">
        <f t="shared" ca="1" si="8"/>
        <v>0</v>
      </c>
      <c r="R33" s="96">
        <f t="shared" ca="1" si="8"/>
        <v>0</v>
      </c>
      <c r="S33" s="96">
        <f t="shared" ca="1" si="8"/>
        <v>0</v>
      </c>
      <c r="T33" s="96">
        <f t="shared" ca="1" si="8"/>
        <v>0</v>
      </c>
      <c r="U33" s="96">
        <f t="shared" ca="1" si="8"/>
        <v>0</v>
      </c>
      <c r="V33" s="96">
        <f t="shared" ca="1" si="8"/>
        <v>0</v>
      </c>
      <c r="W33" s="96">
        <f t="shared" ca="1" si="8"/>
        <v>0</v>
      </c>
      <c r="X33" s="96">
        <f t="shared" ca="1" si="8"/>
        <v>0</v>
      </c>
      <c r="Y33" s="96">
        <f t="shared" ca="1" si="8"/>
        <v>0</v>
      </c>
      <c r="Z33" s="96">
        <f t="shared" ca="1" si="8"/>
        <v>0</v>
      </c>
      <c r="AA33" s="96">
        <f t="shared" ca="1" si="8"/>
        <v>0</v>
      </c>
      <c r="AB33" s="96">
        <f t="shared" ca="1" si="8"/>
        <v>0</v>
      </c>
      <c r="AC33" s="96">
        <f t="shared" ca="1" si="8"/>
        <v>0</v>
      </c>
      <c r="AD33" s="96">
        <f t="shared" ca="1" si="8"/>
        <v>0</v>
      </c>
      <c r="AE33" s="96">
        <f t="shared" ca="1" si="8"/>
        <v>0</v>
      </c>
      <c r="AF33" s="96">
        <f t="shared" ca="1" si="8"/>
        <v>0</v>
      </c>
      <c r="AG33" s="96">
        <f t="shared" ca="1" si="8"/>
        <v>0</v>
      </c>
      <c r="AH33" s="96">
        <f t="shared" ca="1" si="8"/>
        <v>0</v>
      </c>
      <c r="AI33" s="96">
        <f t="shared" ca="1" si="8"/>
        <v>0</v>
      </c>
      <c r="AJ33" s="96">
        <f t="shared" ca="1" si="8"/>
        <v>0</v>
      </c>
      <c r="AK33" s="96">
        <f t="shared" ca="1" si="8"/>
        <v>0</v>
      </c>
      <c r="AL33" s="96">
        <f t="shared" ca="1" si="8"/>
        <v>0</v>
      </c>
      <c r="AM33" s="96">
        <f t="shared" ca="1" si="8"/>
        <v>0</v>
      </c>
      <c r="AN33" s="96">
        <f t="shared" ca="1" si="8"/>
        <v>0</v>
      </c>
      <c r="AO33" s="96">
        <f t="shared" ca="1" si="8"/>
        <v>0</v>
      </c>
      <c r="AP33" s="54"/>
    </row>
    <row r="34" spans="2:42" x14ac:dyDescent="0.25">
      <c r="B34" s="148"/>
      <c r="C34" s="6" t="s">
        <v>1389</v>
      </c>
      <c r="D34" s="90" t="s">
        <v>1430</v>
      </c>
      <c r="E34" s="54">
        <f>'c30'!F42</f>
        <v>0</v>
      </c>
      <c r="F34" s="54">
        <f t="shared" ca="1" si="8"/>
        <v>20</v>
      </c>
      <c r="G34" s="54">
        <f t="shared" ca="1" si="8"/>
        <v>20</v>
      </c>
      <c r="H34" s="54">
        <f t="shared" ca="1" si="8"/>
        <v>20</v>
      </c>
      <c r="I34" s="54">
        <f t="shared" ca="1" si="8"/>
        <v>20</v>
      </c>
      <c r="J34" s="54">
        <f t="shared" ca="1" si="8"/>
        <v>20</v>
      </c>
      <c r="K34" s="54">
        <f t="shared" ca="1" si="8"/>
        <v>20</v>
      </c>
      <c r="L34" s="54">
        <f t="shared" ca="1" si="8"/>
        <v>20</v>
      </c>
      <c r="M34" s="54">
        <f t="shared" ca="1" si="8"/>
        <v>20</v>
      </c>
      <c r="N34" s="54">
        <f t="shared" ca="1" si="8"/>
        <v>20</v>
      </c>
      <c r="O34" s="54">
        <f t="shared" ca="1" si="8"/>
        <v>20</v>
      </c>
      <c r="P34" s="54">
        <f t="shared" ca="1" si="8"/>
        <v>20</v>
      </c>
      <c r="Q34" s="54">
        <f t="shared" ca="1" si="8"/>
        <v>20</v>
      </c>
      <c r="R34" s="54">
        <f t="shared" ca="1" si="8"/>
        <v>25</v>
      </c>
      <c r="S34" s="54">
        <f t="shared" ca="1" si="8"/>
        <v>25</v>
      </c>
      <c r="T34" s="54">
        <f t="shared" ca="1" si="8"/>
        <v>25</v>
      </c>
      <c r="U34" s="54">
        <f t="shared" ca="1" si="8"/>
        <v>25</v>
      </c>
      <c r="V34" s="54">
        <f t="shared" ca="1" si="8"/>
        <v>25</v>
      </c>
      <c r="W34" s="54">
        <f t="shared" ca="1" si="8"/>
        <v>25</v>
      </c>
      <c r="X34" s="54">
        <f t="shared" ca="1" si="8"/>
        <v>160</v>
      </c>
      <c r="Y34" s="54">
        <f t="shared" ca="1" si="8"/>
        <v>160</v>
      </c>
      <c r="Z34" s="54">
        <f t="shared" ca="1" si="8"/>
        <v>160</v>
      </c>
      <c r="AA34" s="54">
        <f t="shared" ca="1" si="8"/>
        <v>160</v>
      </c>
      <c r="AB34" s="54">
        <f t="shared" ca="1" si="8"/>
        <v>160</v>
      </c>
      <c r="AC34" s="54">
        <f t="shared" ca="1" si="8"/>
        <v>160</v>
      </c>
      <c r="AD34" s="54">
        <f t="shared" ca="1" si="8"/>
        <v>160</v>
      </c>
      <c r="AE34" s="54">
        <f t="shared" ca="1" si="8"/>
        <v>160</v>
      </c>
      <c r="AF34" s="54">
        <f t="shared" ca="1" si="8"/>
        <v>160</v>
      </c>
      <c r="AG34" s="54">
        <f t="shared" ca="1" si="8"/>
        <v>160</v>
      </c>
      <c r="AH34" s="54">
        <f t="shared" ca="1" si="8"/>
        <v>35</v>
      </c>
      <c r="AI34" s="54">
        <f t="shared" ca="1" si="8"/>
        <v>35</v>
      </c>
      <c r="AJ34" s="54">
        <f t="shared" ca="1" si="8"/>
        <v>40</v>
      </c>
      <c r="AK34" s="54">
        <f t="shared" ca="1" si="8"/>
        <v>40</v>
      </c>
      <c r="AL34" s="54">
        <f t="shared" ca="1" si="8"/>
        <v>40</v>
      </c>
      <c r="AM34" s="54">
        <f t="shared" ca="1" si="8"/>
        <v>40</v>
      </c>
      <c r="AN34" s="54">
        <f t="shared" ca="1" si="8"/>
        <v>40</v>
      </c>
      <c r="AO34" s="54">
        <f t="shared" ca="1" si="8"/>
        <v>40</v>
      </c>
      <c r="AP34" s="54"/>
    </row>
    <row r="35" spans="2:42" x14ac:dyDescent="0.25">
      <c r="AP35" s="54"/>
    </row>
    <row r="36" spans="2:42" ht="14.45" customHeight="1" x14ac:dyDescent="0.25">
      <c r="B36" s="143" t="s">
        <v>52</v>
      </c>
      <c r="C36" s="7" t="s">
        <v>1391</v>
      </c>
      <c r="D36" s="91" t="s">
        <v>1434</v>
      </c>
      <c r="E36" s="96">
        <f>'c30'!F48</f>
        <v>0</v>
      </c>
      <c r="F36" s="96">
        <f t="shared" ref="F36:AO42" ca="1" si="9">INDIRECT(CONCATENATE("'",F$2,"'!",$D36))</f>
        <v>0</v>
      </c>
      <c r="G36" s="96">
        <f t="shared" ca="1" si="9"/>
        <v>0</v>
      </c>
      <c r="H36" s="96">
        <f t="shared" ca="1" si="9"/>
        <v>0</v>
      </c>
      <c r="I36" s="96">
        <f t="shared" ca="1" si="9"/>
        <v>0</v>
      </c>
      <c r="J36" s="96">
        <f t="shared" ca="1" si="9"/>
        <v>0</v>
      </c>
      <c r="K36" s="96">
        <f t="shared" ca="1" si="9"/>
        <v>0</v>
      </c>
      <c r="L36" s="96">
        <f t="shared" ca="1" si="9"/>
        <v>0</v>
      </c>
      <c r="M36" s="96">
        <f t="shared" ca="1" si="9"/>
        <v>0</v>
      </c>
      <c r="N36" s="96">
        <f t="shared" ca="1" si="9"/>
        <v>0</v>
      </c>
      <c r="O36" s="96">
        <f t="shared" ca="1" si="9"/>
        <v>0</v>
      </c>
      <c r="P36" s="96">
        <f t="shared" ca="1" si="9"/>
        <v>0</v>
      </c>
      <c r="Q36" s="96">
        <f t="shared" ca="1" si="9"/>
        <v>0</v>
      </c>
      <c r="R36" s="96">
        <f t="shared" ca="1" si="9"/>
        <v>0</v>
      </c>
      <c r="S36" s="96">
        <f t="shared" ca="1" si="9"/>
        <v>0</v>
      </c>
      <c r="T36" s="96">
        <f t="shared" ca="1" si="9"/>
        <v>0</v>
      </c>
      <c r="U36" s="96">
        <f t="shared" ca="1" si="9"/>
        <v>0</v>
      </c>
      <c r="V36" s="96">
        <f t="shared" ca="1" si="9"/>
        <v>0</v>
      </c>
      <c r="W36" s="96">
        <f t="shared" ca="1" si="9"/>
        <v>0</v>
      </c>
      <c r="X36" s="96">
        <f t="shared" ca="1" si="9"/>
        <v>0</v>
      </c>
      <c r="Y36" s="96">
        <f t="shared" ca="1" si="9"/>
        <v>0</v>
      </c>
      <c r="Z36" s="96">
        <f t="shared" ca="1" si="9"/>
        <v>0</v>
      </c>
      <c r="AA36" s="96">
        <f t="shared" ca="1" si="9"/>
        <v>0</v>
      </c>
      <c r="AB36" s="96">
        <f t="shared" ca="1" si="9"/>
        <v>0</v>
      </c>
      <c r="AC36" s="96">
        <f t="shared" ca="1" si="9"/>
        <v>0</v>
      </c>
      <c r="AD36" s="96">
        <f t="shared" ca="1" si="9"/>
        <v>0</v>
      </c>
      <c r="AE36" s="96">
        <f t="shared" ca="1" si="9"/>
        <v>0</v>
      </c>
      <c r="AF36" s="96">
        <f t="shared" ca="1" si="9"/>
        <v>0</v>
      </c>
      <c r="AG36" s="96">
        <f t="shared" ca="1" si="9"/>
        <v>0</v>
      </c>
      <c r="AH36" s="96">
        <f t="shared" ca="1" si="9"/>
        <v>0</v>
      </c>
      <c r="AI36" s="96">
        <f t="shared" ca="1" si="9"/>
        <v>0</v>
      </c>
      <c r="AJ36" s="96">
        <f t="shared" ca="1" si="9"/>
        <v>0</v>
      </c>
      <c r="AK36" s="96">
        <f t="shared" ca="1" si="9"/>
        <v>0</v>
      </c>
      <c r="AL36" s="96">
        <f t="shared" ca="1" si="9"/>
        <v>0</v>
      </c>
      <c r="AM36" s="96">
        <f t="shared" ca="1" si="9"/>
        <v>0</v>
      </c>
      <c r="AN36" s="96">
        <f t="shared" ca="1" si="9"/>
        <v>0</v>
      </c>
      <c r="AO36" s="96">
        <f t="shared" ca="1" si="9"/>
        <v>0</v>
      </c>
      <c r="AP36" s="54"/>
    </row>
    <row r="37" spans="2:42" x14ac:dyDescent="0.25">
      <c r="B37" s="143"/>
      <c r="C37" s="7" t="s">
        <v>1392</v>
      </c>
      <c r="D37" s="91" t="s">
        <v>1438</v>
      </c>
      <c r="E37" s="54">
        <f>'c30'!F49</f>
        <v>0</v>
      </c>
      <c r="F37" s="54">
        <f t="shared" ca="1" si="9"/>
        <v>0</v>
      </c>
      <c r="G37" s="54">
        <f t="shared" ca="1" si="9"/>
        <v>0</v>
      </c>
      <c r="H37" s="54">
        <f t="shared" ca="1" si="9"/>
        <v>0</v>
      </c>
      <c r="I37" s="54">
        <f t="shared" ca="1" si="9"/>
        <v>0</v>
      </c>
      <c r="J37" s="54">
        <f t="shared" ca="1" si="9"/>
        <v>0</v>
      </c>
      <c r="K37" s="54">
        <f t="shared" ca="1" si="9"/>
        <v>0</v>
      </c>
      <c r="L37" s="54">
        <f t="shared" ca="1" si="9"/>
        <v>0</v>
      </c>
      <c r="M37" s="54">
        <f t="shared" ca="1" si="9"/>
        <v>0</v>
      </c>
      <c r="N37" s="54">
        <f t="shared" ca="1" si="9"/>
        <v>0</v>
      </c>
      <c r="O37" s="54">
        <f t="shared" ca="1" si="9"/>
        <v>0</v>
      </c>
      <c r="P37" s="54">
        <f t="shared" ca="1" si="9"/>
        <v>0</v>
      </c>
      <c r="Q37" s="54">
        <f t="shared" ca="1" si="9"/>
        <v>0</v>
      </c>
      <c r="R37" s="54">
        <f t="shared" ca="1" si="9"/>
        <v>0</v>
      </c>
      <c r="S37" s="54">
        <f t="shared" ca="1" si="9"/>
        <v>0</v>
      </c>
      <c r="T37" s="54">
        <f t="shared" ca="1" si="9"/>
        <v>0</v>
      </c>
      <c r="U37" s="54">
        <f t="shared" ca="1" si="9"/>
        <v>0</v>
      </c>
      <c r="V37" s="54">
        <f t="shared" ca="1" si="9"/>
        <v>0</v>
      </c>
      <c r="W37" s="54">
        <f t="shared" ca="1" si="9"/>
        <v>0</v>
      </c>
      <c r="X37" s="54">
        <f t="shared" ca="1" si="9"/>
        <v>0</v>
      </c>
      <c r="Y37" s="54">
        <f t="shared" ca="1" si="9"/>
        <v>0</v>
      </c>
      <c r="Z37" s="54">
        <f t="shared" ca="1" si="9"/>
        <v>0</v>
      </c>
      <c r="AA37" s="54">
        <f t="shared" ca="1" si="9"/>
        <v>0</v>
      </c>
      <c r="AB37" s="54">
        <f t="shared" ca="1" si="9"/>
        <v>0</v>
      </c>
      <c r="AC37" s="54">
        <f t="shared" ca="1" si="9"/>
        <v>0</v>
      </c>
      <c r="AD37" s="54">
        <f t="shared" ca="1" si="9"/>
        <v>0</v>
      </c>
      <c r="AE37" s="54">
        <f t="shared" ca="1" si="9"/>
        <v>0</v>
      </c>
      <c r="AF37" s="54">
        <f t="shared" ca="1" si="9"/>
        <v>0</v>
      </c>
      <c r="AG37" s="54">
        <f t="shared" ca="1" si="9"/>
        <v>0</v>
      </c>
      <c r="AH37" s="54">
        <f t="shared" ca="1" si="9"/>
        <v>0</v>
      </c>
      <c r="AI37" s="54">
        <f t="shared" ca="1" si="9"/>
        <v>0</v>
      </c>
      <c r="AJ37" s="54">
        <f t="shared" ca="1" si="9"/>
        <v>0</v>
      </c>
      <c r="AK37" s="54">
        <f t="shared" ca="1" si="9"/>
        <v>0</v>
      </c>
      <c r="AL37" s="54">
        <f t="shared" ca="1" si="9"/>
        <v>0</v>
      </c>
      <c r="AM37" s="54">
        <f t="shared" ca="1" si="9"/>
        <v>0</v>
      </c>
      <c r="AN37" s="54">
        <f t="shared" ca="1" si="9"/>
        <v>0</v>
      </c>
      <c r="AO37" s="54">
        <f t="shared" ca="1" si="9"/>
        <v>0</v>
      </c>
      <c r="AP37" s="54"/>
    </row>
    <row r="38" spans="2:42" x14ac:dyDescent="0.25">
      <c r="B38" s="143"/>
      <c r="C38" s="7" t="s">
        <v>1393</v>
      </c>
      <c r="D38" s="91" t="s">
        <v>1437</v>
      </c>
      <c r="E38" s="96">
        <f>'c30'!F50</f>
        <v>64</v>
      </c>
      <c r="F38" s="96">
        <f t="shared" ca="1" si="9"/>
        <v>100</v>
      </c>
      <c r="G38" s="96">
        <f t="shared" ca="1" si="9"/>
        <v>100</v>
      </c>
      <c r="H38" s="96">
        <f t="shared" ca="1" si="9"/>
        <v>100</v>
      </c>
      <c r="I38" s="96">
        <f t="shared" ca="1" si="9"/>
        <v>100</v>
      </c>
      <c r="J38" s="96">
        <f t="shared" ca="1" si="9"/>
        <v>100</v>
      </c>
      <c r="K38" s="96">
        <f t="shared" ca="1" si="9"/>
        <v>100</v>
      </c>
      <c r="L38" s="96">
        <f t="shared" ca="1" si="9"/>
        <v>100</v>
      </c>
      <c r="M38" s="96">
        <f t="shared" ca="1" si="9"/>
        <v>100</v>
      </c>
      <c r="N38" s="96">
        <f t="shared" ca="1" si="9"/>
        <v>1000</v>
      </c>
      <c r="O38" s="96">
        <f t="shared" ca="1" si="9"/>
        <v>1000</v>
      </c>
      <c r="P38" s="96">
        <f t="shared" ca="1" si="9"/>
        <v>1000</v>
      </c>
      <c r="Q38" s="96">
        <f t="shared" ca="1" si="9"/>
        <v>1000</v>
      </c>
      <c r="R38" s="96">
        <f t="shared" ca="1" si="9"/>
        <v>1000</v>
      </c>
      <c r="S38" s="96">
        <f t="shared" ca="1" si="9"/>
        <v>1000</v>
      </c>
      <c r="T38" s="96">
        <f t="shared" ca="1" si="9"/>
        <v>1000</v>
      </c>
      <c r="U38" s="96">
        <f t="shared" ca="1" si="9"/>
        <v>1000</v>
      </c>
      <c r="V38" s="96">
        <f t="shared" ca="1" si="9"/>
        <v>1000</v>
      </c>
      <c r="W38" s="96">
        <f t="shared" ca="1" si="9"/>
        <v>1000</v>
      </c>
      <c r="X38" s="96">
        <f t="shared" ca="1" si="9"/>
        <v>0</v>
      </c>
      <c r="Y38" s="96">
        <f t="shared" ca="1" si="9"/>
        <v>0</v>
      </c>
      <c r="Z38" s="96">
        <f t="shared" ca="1" si="9"/>
        <v>0</v>
      </c>
      <c r="AA38" s="96">
        <f t="shared" ca="1" si="9"/>
        <v>0</v>
      </c>
      <c r="AB38" s="96">
        <f t="shared" ca="1" si="9"/>
        <v>0</v>
      </c>
      <c r="AC38" s="96">
        <f t="shared" ca="1" si="9"/>
        <v>0</v>
      </c>
      <c r="AD38" s="96">
        <f t="shared" ca="1" si="9"/>
        <v>0</v>
      </c>
      <c r="AE38" s="96">
        <f t="shared" ca="1" si="9"/>
        <v>0</v>
      </c>
      <c r="AF38" s="96">
        <f t="shared" ca="1" si="9"/>
        <v>0</v>
      </c>
      <c r="AG38" s="96">
        <f t="shared" ca="1" si="9"/>
        <v>0</v>
      </c>
      <c r="AH38" s="96">
        <f t="shared" ca="1" si="9"/>
        <v>1000</v>
      </c>
      <c r="AI38" s="96">
        <f t="shared" ca="1" si="9"/>
        <v>1000</v>
      </c>
      <c r="AJ38" s="96">
        <f t="shared" ca="1" si="9"/>
        <v>1000</v>
      </c>
      <c r="AK38" s="96">
        <f t="shared" ca="1" si="9"/>
        <v>1000</v>
      </c>
      <c r="AL38" s="96">
        <f t="shared" ca="1" si="9"/>
        <v>1000</v>
      </c>
      <c r="AM38" s="96">
        <f t="shared" ca="1" si="9"/>
        <v>1000</v>
      </c>
      <c r="AN38" s="96">
        <f t="shared" ca="1" si="9"/>
        <v>1000</v>
      </c>
      <c r="AO38" s="96">
        <f t="shared" ca="1" si="9"/>
        <v>1000</v>
      </c>
      <c r="AP38" s="54"/>
    </row>
    <row r="39" spans="2:42" x14ac:dyDescent="0.25">
      <c r="B39" s="143"/>
      <c r="C39" s="7" t="s">
        <v>1394</v>
      </c>
      <c r="D39" s="91" t="s">
        <v>1436</v>
      </c>
      <c r="E39" s="54">
        <f>'c30'!F51</f>
        <v>64</v>
      </c>
      <c r="F39" s="54">
        <f t="shared" ca="1" si="9"/>
        <v>0</v>
      </c>
      <c r="G39" s="54">
        <f t="shared" ca="1" si="9"/>
        <v>0</v>
      </c>
      <c r="H39" s="54">
        <f t="shared" ca="1" si="9"/>
        <v>0</v>
      </c>
      <c r="I39" s="54">
        <f t="shared" ca="1" si="9"/>
        <v>0</v>
      </c>
      <c r="J39" s="54">
        <f t="shared" ca="1" si="9"/>
        <v>0</v>
      </c>
      <c r="K39" s="54">
        <f t="shared" ca="1" si="9"/>
        <v>0</v>
      </c>
      <c r="L39" s="54">
        <f t="shared" ca="1" si="9"/>
        <v>0</v>
      </c>
      <c r="M39" s="54">
        <f t="shared" ca="1" si="9"/>
        <v>0</v>
      </c>
      <c r="N39" s="54">
        <f t="shared" ca="1" si="9"/>
        <v>0</v>
      </c>
      <c r="O39" s="54">
        <f t="shared" ca="1" si="9"/>
        <v>0</v>
      </c>
      <c r="P39" s="54">
        <f t="shared" ca="1" si="9"/>
        <v>0</v>
      </c>
      <c r="Q39" s="54">
        <f t="shared" ca="1" si="9"/>
        <v>0</v>
      </c>
      <c r="R39" s="54">
        <f t="shared" ca="1" si="9"/>
        <v>0</v>
      </c>
      <c r="S39" s="54">
        <f t="shared" ca="1" si="9"/>
        <v>0</v>
      </c>
      <c r="T39" s="54">
        <f t="shared" ca="1" si="9"/>
        <v>0</v>
      </c>
      <c r="U39" s="54">
        <f t="shared" ca="1" si="9"/>
        <v>0</v>
      </c>
      <c r="V39" s="54">
        <f t="shared" ca="1" si="9"/>
        <v>0</v>
      </c>
      <c r="W39" s="54">
        <f t="shared" ca="1" si="9"/>
        <v>0</v>
      </c>
      <c r="X39" s="54">
        <f t="shared" ca="1" si="9"/>
        <v>0</v>
      </c>
      <c r="Y39" s="54">
        <f t="shared" ca="1" si="9"/>
        <v>0</v>
      </c>
      <c r="Z39" s="54">
        <f t="shared" ca="1" si="9"/>
        <v>0</v>
      </c>
      <c r="AA39" s="54">
        <f t="shared" ca="1" si="9"/>
        <v>0</v>
      </c>
      <c r="AB39" s="54">
        <f t="shared" ca="1" si="9"/>
        <v>0</v>
      </c>
      <c r="AC39" s="54">
        <f t="shared" ca="1" si="9"/>
        <v>0</v>
      </c>
      <c r="AD39" s="54">
        <f t="shared" ca="1" si="9"/>
        <v>0</v>
      </c>
      <c r="AE39" s="54">
        <f t="shared" ca="1" si="9"/>
        <v>0</v>
      </c>
      <c r="AF39" s="54">
        <f t="shared" ca="1" si="9"/>
        <v>0</v>
      </c>
      <c r="AG39" s="54">
        <f t="shared" ca="1" si="9"/>
        <v>0</v>
      </c>
      <c r="AH39" s="54">
        <f t="shared" ca="1" si="9"/>
        <v>0</v>
      </c>
      <c r="AI39" s="54">
        <f t="shared" ca="1" si="9"/>
        <v>0</v>
      </c>
      <c r="AJ39" s="54">
        <f t="shared" ca="1" si="9"/>
        <v>0</v>
      </c>
      <c r="AK39" s="54">
        <f t="shared" ca="1" si="9"/>
        <v>0</v>
      </c>
      <c r="AL39" s="54">
        <f t="shared" ca="1" si="9"/>
        <v>0</v>
      </c>
      <c r="AM39" s="54">
        <f t="shared" ca="1" si="9"/>
        <v>0</v>
      </c>
      <c r="AN39" s="54">
        <f t="shared" ca="1" si="9"/>
        <v>0</v>
      </c>
      <c r="AO39" s="54">
        <f t="shared" ca="1" si="9"/>
        <v>0</v>
      </c>
      <c r="AP39" s="54"/>
    </row>
    <row r="40" spans="2:42" x14ac:dyDescent="0.25">
      <c r="B40" s="143"/>
      <c r="C40" s="7" t="s">
        <v>1395</v>
      </c>
      <c r="D40" s="91" t="s">
        <v>1435</v>
      </c>
      <c r="E40" s="96">
        <f>'c30'!F52</f>
        <v>50</v>
      </c>
      <c r="F40" s="96">
        <f t="shared" ca="1" si="9"/>
        <v>64</v>
      </c>
      <c r="G40" s="96">
        <f t="shared" ca="1" si="9"/>
        <v>64</v>
      </c>
      <c r="H40" s="96">
        <f t="shared" ca="1" si="9"/>
        <v>64</v>
      </c>
      <c r="I40" s="96">
        <f t="shared" ca="1" si="9"/>
        <v>64</v>
      </c>
      <c r="J40" s="96">
        <f t="shared" ca="1" si="9"/>
        <v>64</v>
      </c>
      <c r="K40" s="96">
        <f t="shared" ca="1" si="9"/>
        <v>64</v>
      </c>
      <c r="L40" s="96">
        <f t="shared" ca="1" si="9"/>
        <v>64</v>
      </c>
      <c r="M40" s="96">
        <f t="shared" ca="1" si="9"/>
        <v>64</v>
      </c>
      <c r="N40" s="96">
        <f t="shared" ca="1" si="9"/>
        <v>64</v>
      </c>
      <c r="O40" s="96">
        <f t="shared" ca="1" si="9"/>
        <v>64</v>
      </c>
      <c r="P40" s="96">
        <f t="shared" ca="1" si="9"/>
        <v>64</v>
      </c>
      <c r="Q40" s="96">
        <f t="shared" ca="1" si="9"/>
        <v>64</v>
      </c>
      <c r="R40" s="96">
        <f t="shared" ca="1" si="9"/>
        <v>64</v>
      </c>
      <c r="S40" s="96">
        <f t="shared" ca="1" si="9"/>
        <v>64</v>
      </c>
      <c r="T40" s="96">
        <f t="shared" ca="1" si="9"/>
        <v>64</v>
      </c>
      <c r="U40" s="96">
        <f t="shared" ca="1" si="9"/>
        <v>64</v>
      </c>
      <c r="V40" s="96">
        <f t="shared" ca="1" si="9"/>
        <v>64</v>
      </c>
      <c r="W40" s="96">
        <f t="shared" ca="1" si="9"/>
        <v>64</v>
      </c>
      <c r="X40" s="96">
        <f t="shared" ca="1" si="9"/>
        <v>1000</v>
      </c>
      <c r="Y40" s="96">
        <f t="shared" ca="1" si="9"/>
        <v>1000</v>
      </c>
      <c r="Z40" s="96">
        <f t="shared" ca="1" si="9"/>
        <v>1000</v>
      </c>
      <c r="AA40" s="96">
        <f t="shared" ca="1" si="9"/>
        <v>1000</v>
      </c>
      <c r="AB40" s="96">
        <f t="shared" ca="1" si="9"/>
        <v>1000</v>
      </c>
      <c r="AC40" s="96">
        <f t="shared" ca="1" si="9"/>
        <v>1000</v>
      </c>
      <c r="AD40" s="96">
        <f t="shared" ca="1" si="9"/>
        <v>1000</v>
      </c>
      <c r="AE40" s="96">
        <f t="shared" ca="1" si="9"/>
        <v>1000</v>
      </c>
      <c r="AF40" s="96">
        <f t="shared" ca="1" si="9"/>
        <v>1000</v>
      </c>
      <c r="AG40" s="96">
        <f t="shared" ca="1" si="9"/>
        <v>1000</v>
      </c>
      <c r="AH40" s="96">
        <f t="shared" ca="1" si="9"/>
        <v>64</v>
      </c>
      <c r="AI40" s="96">
        <f t="shared" ca="1" si="9"/>
        <v>64</v>
      </c>
      <c r="AJ40" s="96">
        <f t="shared" ca="1" si="9"/>
        <v>64</v>
      </c>
      <c r="AK40" s="96">
        <f t="shared" ca="1" si="9"/>
        <v>64</v>
      </c>
      <c r="AL40" s="96">
        <f t="shared" ca="1" si="9"/>
        <v>64</v>
      </c>
      <c r="AM40" s="96">
        <f t="shared" ca="1" si="9"/>
        <v>64</v>
      </c>
      <c r="AN40" s="96">
        <f t="shared" ca="1" si="9"/>
        <v>64</v>
      </c>
      <c r="AO40" s="96">
        <f t="shared" ca="1" si="9"/>
        <v>64</v>
      </c>
      <c r="AP40" s="54"/>
    </row>
    <row r="41" spans="2:42" x14ac:dyDescent="0.25">
      <c r="B41" s="143"/>
      <c r="C41" s="7" t="s">
        <v>1390</v>
      </c>
      <c r="D41" s="91" t="s">
        <v>1439</v>
      </c>
      <c r="E41" s="54">
        <f>'c30'!H48</f>
        <v>0</v>
      </c>
      <c r="F41" s="54">
        <f t="shared" ca="1" si="9"/>
        <v>0</v>
      </c>
      <c r="G41" s="54">
        <f t="shared" ca="1" si="9"/>
        <v>0</v>
      </c>
      <c r="H41" s="54">
        <f t="shared" ca="1" si="9"/>
        <v>0</v>
      </c>
      <c r="I41" s="54">
        <f t="shared" ca="1" si="9"/>
        <v>0</v>
      </c>
      <c r="J41" s="54">
        <f t="shared" ca="1" si="9"/>
        <v>0</v>
      </c>
      <c r="K41" s="54">
        <f t="shared" ca="1" si="9"/>
        <v>0</v>
      </c>
      <c r="L41" s="54">
        <f t="shared" ca="1" si="9"/>
        <v>0</v>
      </c>
      <c r="M41" s="54">
        <f t="shared" ca="1" si="9"/>
        <v>0</v>
      </c>
      <c r="N41" s="54">
        <f t="shared" ca="1" si="9"/>
        <v>0</v>
      </c>
      <c r="O41" s="54">
        <f t="shared" ca="1" si="9"/>
        <v>0</v>
      </c>
      <c r="P41" s="54">
        <f t="shared" ca="1" si="9"/>
        <v>0</v>
      </c>
      <c r="Q41" s="54">
        <f t="shared" ca="1" si="9"/>
        <v>0</v>
      </c>
      <c r="R41" s="54">
        <f t="shared" ca="1" si="9"/>
        <v>0</v>
      </c>
      <c r="S41" s="54">
        <f t="shared" ca="1" si="9"/>
        <v>0</v>
      </c>
      <c r="T41" s="54">
        <f t="shared" ca="1" si="9"/>
        <v>0</v>
      </c>
      <c r="U41" s="54">
        <f t="shared" ca="1" si="9"/>
        <v>0</v>
      </c>
      <c r="V41" s="54">
        <f t="shared" ca="1" si="9"/>
        <v>0</v>
      </c>
      <c r="W41" s="54">
        <f t="shared" ca="1" si="9"/>
        <v>0</v>
      </c>
      <c r="X41" s="54">
        <f t="shared" ca="1" si="9"/>
        <v>0</v>
      </c>
      <c r="Y41" s="54">
        <f t="shared" ca="1" si="9"/>
        <v>0</v>
      </c>
      <c r="Z41" s="54">
        <f t="shared" ca="1" si="9"/>
        <v>0</v>
      </c>
      <c r="AA41" s="54">
        <f t="shared" ca="1" si="9"/>
        <v>0</v>
      </c>
      <c r="AB41" s="54">
        <f t="shared" ca="1" si="9"/>
        <v>0</v>
      </c>
      <c r="AC41" s="54">
        <f t="shared" ca="1" si="9"/>
        <v>0</v>
      </c>
      <c r="AD41" s="54">
        <f t="shared" ca="1" si="9"/>
        <v>0</v>
      </c>
      <c r="AE41" s="54">
        <f t="shared" ca="1" si="9"/>
        <v>0</v>
      </c>
      <c r="AF41" s="54">
        <f t="shared" ca="1" si="9"/>
        <v>0</v>
      </c>
      <c r="AG41" s="54">
        <f t="shared" ca="1" si="9"/>
        <v>0</v>
      </c>
      <c r="AH41" s="54">
        <f t="shared" ca="1" si="9"/>
        <v>0</v>
      </c>
      <c r="AI41" s="54">
        <f t="shared" ca="1" si="9"/>
        <v>0</v>
      </c>
      <c r="AJ41" s="54">
        <f t="shared" ca="1" si="9"/>
        <v>0</v>
      </c>
      <c r="AK41" s="54">
        <f t="shared" ca="1" si="9"/>
        <v>0</v>
      </c>
      <c r="AL41" s="54">
        <f t="shared" ca="1" si="9"/>
        <v>0</v>
      </c>
      <c r="AM41" s="54">
        <f t="shared" ca="1" si="9"/>
        <v>0</v>
      </c>
      <c r="AN41" s="54">
        <f t="shared" ca="1" si="9"/>
        <v>0</v>
      </c>
      <c r="AO41" s="54">
        <f t="shared" ca="1" si="9"/>
        <v>0</v>
      </c>
      <c r="AP41" s="54"/>
    </row>
    <row r="42" spans="2:42" x14ac:dyDescent="0.25">
      <c r="B42" s="143"/>
      <c r="C42" s="7" t="s">
        <v>1396</v>
      </c>
      <c r="D42" s="91" t="s">
        <v>1440</v>
      </c>
      <c r="E42" s="96">
        <f>'c30'!H49</f>
        <v>0</v>
      </c>
      <c r="F42" s="96">
        <f t="shared" ca="1" si="9"/>
        <v>0</v>
      </c>
      <c r="G42" s="96">
        <f t="shared" ca="1" si="9"/>
        <v>0</v>
      </c>
      <c r="H42" s="96">
        <f t="shared" ca="1" si="9"/>
        <v>0</v>
      </c>
      <c r="I42" s="96">
        <f t="shared" ca="1" si="9"/>
        <v>0</v>
      </c>
      <c r="J42" s="96">
        <f t="shared" ca="1" si="9"/>
        <v>0</v>
      </c>
      <c r="K42" s="96">
        <f t="shared" ca="1" si="9"/>
        <v>0</v>
      </c>
      <c r="L42" s="96">
        <f t="shared" ca="1" si="9"/>
        <v>0</v>
      </c>
      <c r="M42" s="96">
        <f t="shared" ca="1" si="9"/>
        <v>0</v>
      </c>
      <c r="N42" s="96">
        <f t="shared" ca="1" si="9"/>
        <v>0</v>
      </c>
      <c r="O42" s="96">
        <f t="shared" ca="1" si="9"/>
        <v>0</v>
      </c>
      <c r="P42" s="96">
        <f t="shared" ca="1" si="9"/>
        <v>0</v>
      </c>
      <c r="Q42" s="96">
        <f t="shared" ca="1" si="9"/>
        <v>0</v>
      </c>
      <c r="R42" s="96">
        <f t="shared" ca="1" si="9"/>
        <v>0</v>
      </c>
      <c r="S42" s="96">
        <f t="shared" ca="1" si="9"/>
        <v>0</v>
      </c>
      <c r="T42" s="96">
        <f t="shared" ca="1" si="9"/>
        <v>0</v>
      </c>
      <c r="U42" s="96">
        <f t="shared" ca="1" si="9"/>
        <v>0</v>
      </c>
      <c r="V42" s="96">
        <f t="shared" ca="1" si="9"/>
        <v>0</v>
      </c>
      <c r="W42" s="96">
        <f t="shared" ca="1" si="9"/>
        <v>0</v>
      </c>
      <c r="X42" s="96">
        <f t="shared" ca="1" si="9"/>
        <v>0</v>
      </c>
      <c r="Y42" s="96">
        <f t="shared" ca="1" si="9"/>
        <v>0</v>
      </c>
      <c r="Z42" s="96">
        <f t="shared" ca="1" si="9"/>
        <v>0</v>
      </c>
      <c r="AA42" s="96">
        <f t="shared" ca="1" si="9"/>
        <v>0</v>
      </c>
      <c r="AB42" s="96">
        <f t="shared" ca="1" si="9"/>
        <v>0</v>
      </c>
      <c r="AC42" s="96">
        <f t="shared" ca="1" si="9"/>
        <v>0</v>
      </c>
      <c r="AD42" s="96">
        <f t="shared" ca="1" si="9"/>
        <v>0</v>
      </c>
      <c r="AE42" s="96">
        <f t="shared" ca="1" si="9"/>
        <v>0</v>
      </c>
      <c r="AF42" s="96">
        <f t="shared" ca="1" si="9"/>
        <v>0</v>
      </c>
      <c r="AG42" s="96">
        <f t="shared" ca="1" si="9"/>
        <v>0</v>
      </c>
      <c r="AH42" s="96">
        <f t="shared" ca="1" si="9"/>
        <v>0</v>
      </c>
      <c r="AI42" s="96">
        <f t="shared" ca="1" si="9"/>
        <v>0</v>
      </c>
      <c r="AJ42" s="96">
        <f t="shared" ca="1" si="9"/>
        <v>0</v>
      </c>
      <c r="AK42" s="96">
        <f t="shared" ca="1" si="9"/>
        <v>0</v>
      </c>
      <c r="AL42" s="96">
        <f t="shared" ca="1" si="9"/>
        <v>0</v>
      </c>
      <c r="AM42" s="96">
        <f t="shared" ca="1" si="9"/>
        <v>0</v>
      </c>
      <c r="AN42" s="96">
        <f t="shared" ca="1" si="9"/>
        <v>0</v>
      </c>
      <c r="AO42" s="96">
        <f t="shared" ca="1" si="9"/>
        <v>0</v>
      </c>
      <c r="AP42" s="54"/>
    </row>
    <row r="44" spans="2:42" x14ac:dyDescent="0.25">
      <c r="E44" s="145" t="s">
        <v>1441</v>
      </c>
      <c r="F44" s="145"/>
    </row>
    <row r="62" spans="5:6" x14ac:dyDescent="0.25">
      <c r="E62" s="145" t="s">
        <v>1441</v>
      </c>
      <c r="F62" s="145"/>
    </row>
    <row r="80" spans="5:6" x14ac:dyDescent="0.25">
      <c r="E80" s="145" t="s">
        <v>1441</v>
      </c>
      <c r="F80" s="145"/>
    </row>
    <row r="98" spans="5:6" x14ac:dyDescent="0.25">
      <c r="E98" s="145" t="s">
        <v>1441</v>
      </c>
      <c r="F98" s="145"/>
    </row>
    <row r="116" spans="5:6" x14ac:dyDescent="0.25">
      <c r="E116" s="145" t="s">
        <v>1441</v>
      </c>
      <c r="F116" s="145"/>
    </row>
    <row r="134" spans="5:6" x14ac:dyDescent="0.25">
      <c r="E134" s="145" t="s">
        <v>1441</v>
      </c>
      <c r="F134" s="145"/>
    </row>
    <row r="152" spans="5:17" x14ac:dyDescent="0.25">
      <c r="E152" s="145" t="s">
        <v>1441</v>
      </c>
      <c r="F152" s="145"/>
    </row>
    <row r="155" spans="5:17" x14ac:dyDescent="0.25">
      <c r="P155" s="121" t="s">
        <v>1477</v>
      </c>
      <c r="Q155" s="60" t="s">
        <v>1478</v>
      </c>
    </row>
    <row r="156" spans="5:17" x14ac:dyDescent="0.25">
      <c r="P156" s="121" t="s">
        <v>1476</v>
      </c>
      <c r="Q156" s="60" t="s">
        <v>1479</v>
      </c>
    </row>
    <row r="157" spans="5:17" x14ac:dyDescent="0.25">
      <c r="P157" s="122" t="s">
        <v>1475</v>
      </c>
      <c r="Q157" s="60" t="s">
        <v>1480</v>
      </c>
    </row>
    <row r="159" spans="5:17" x14ac:dyDescent="0.25">
      <c r="M159" s="54">
        <v>27720</v>
      </c>
    </row>
    <row r="170" spans="5:6" x14ac:dyDescent="0.25">
      <c r="E170" s="145" t="s">
        <v>1441</v>
      </c>
      <c r="F170" s="145"/>
    </row>
    <row r="188" spans="5:6" x14ac:dyDescent="0.25">
      <c r="E188" s="145" t="s">
        <v>1441</v>
      </c>
      <c r="F188" s="145"/>
    </row>
    <row r="206" spans="5:6" x14ac:dyDescent="0.25">
      <c r="E206" s="145" t="s">
        <v>1441</v>
      </c>
      <c r="F206" s="145"/>
    </row>
    <row r="224" spans="5:6" x14ac:dyDescent="0.25">
      <c r="E224" s="145" t="s">
        <v>1441</v>
      </c>
      <c r="F224" s="145"/>
    </row>
  </sheetData>
  <mergeCells count="15">
    <mergeCell ref="B3:B15"/>
    <mergeCell ref="B17:B28"/>
    <mergeCell ref="B30:B34"/>
    <mergeCell ref="B36:B42"/>
    <mergeCell ref="E44:F44"/>
    <mergeCell ref="E170:F170"/>
    <mergeCell ref="E188:F188"/>
    <mergeCell ref="E206:F206"/>
    <mergeCell ref="E224:F224"/>
    <mergeCell ref="E62:F62"/>
    <mergeCell ref="E80:F80"/>
    <mergeCell ref="E98:F98"/>
    <mergeCell ref="E116:F116"/>
    <mergeCell ref="E134:F134"/>
    <mergeCell ref="E152:F152"/>
  </mergeCells>
  <hyperlinks>
    <hyperlink ref="E2" location="'c30'!A1" display="c30"/>
    <hyperlink ref="F2" location="'c60'!A1" display="c60"/>
    <hyperlink ref="G2" location="'c65'!A1" display="c65"/>
    <hyperlink ref="H2" location="'c70'!A1" display="c70"/>
    <hyperlink ref="I2" location="'c75'!A1" display="c75"/>
    <hyperlink ref="J2" location="'c80'!A1" display="c80"/>
    <hyperlink ref="K2" location="'c85'!A1" display="c85"/>
    <hyperlink ref="L2" location="'c90'!A1" display="c90"/>
    <hyperlink ref="M2" location="'c95'!A1" display="c95"/>
    <hyperlink ref="N2" location="'c100'!A1" display="c100"/>
    <hyperlink ref="O2" location="'c105'!A1" display="c105"/>
    <hyperlink ref="P2" location="'c110'!A1" display="c110"/>
    <hyperlink ref="Q2" location="'c115'!A1" display="c115"/>
    <hyperlink ref="R2" location="'c120'!A1" display="c120"/>
    <hyperlink ref="S2" location="'c125'!A1" display="c125"/>
    <hyperlink ref="T2" location="'c130'!A1" display="c130"/>
    <hyperlink ref="U2" location="'c135'!A1" display="c135"/>
    <hyperlink ref="V2" location="'c140'!A1" display="c140"/>
    <hyperlink ref="W2" location="'c145'!A1" display="c145"/>
    <hyperlink ref="X2" location="'c150'!A1" display="c150"/>
    <hyperlink ref="Y2" location="'c155'!A1" display="c155"/>
    <hyperlink ref="Z2" location="'c160'!A1" display="c160"/>
    <hyperlink ref="AB2" location="'c170'!A1" display="c170"/>
    <hyperlink ref="AA2" location="'c165'!A1" display="c165"/>
    <hyperlink ref="AC2" location="'c175'!A1" display="c175"/>
    <hyperlink ref="AD2" location="'c180'!A1" display="c180"/>
    <hyperlink ref="AE2" location="'c185'!A1" display="c185"/>
    <hyperlink ref="AF2" location="'c190'!A1" display="c190"/>
    <hyperlink ref="AG2" location="'c195'!A1" display="c195"/>
    <hyperlink ref="AH2" location="'c200'!A1" display="c200"/>
    <hyperlink ref="AI2" location="'c205'!A1" display="c205"/>
    <hyperlink ref="AJ2" location="'c210'!A1" display="c210"/>
    <hyperlink ref="AK2" location="'c220'!A1" display="c220"/>
    <hyperlink ref="AL2" location="'c230'!A1" display="c230"/>
    <hyperlink ref="AN2" location="'c310'!A1" display="c310"/>
    <hyperlink ref="AO2" location="'c320'!A1" display="c320"/>
    <hyperlink ref="AM2" location="'c270'!A1" display="c270"/>
    <hyperlink ref="C5" location="'Index of Parameters'!E59" display="- max:"/>
    <hyperlink ref="E44:F44" location="'Index of Parameters'!A1" display="Back to top"/>
    <hyperlink ref="E62:F62" location="'Index of Parameters'!A1" display="Back to top"/>
    <hyperlink ref="C6" location="'Index of Parameters'!E77" display="P"/>
    <hyperlink ref="E80:F80" location="'Index of Parameters'!A1" display="Back to top"/>
    <hyperlink ref="C8" location="'Index of Parameters'!E95" display="nq"/>
    <hyperlink ref="E98:F98" location="'Index of Parameters'!A1" display="Back to top"/>
    <hyperlink ref="C9" location="'Index of Parameters'!E113" display="nrkeep"/>
    <hyperlink ref="E116:F116" location="'Index of Parameters'!A1" display="Back to top"/>
    <hyperlink ref="C10" location="'Index of Parameters'!E131" display="degree"/>
    <hyperlink ref="E134:F134" location="'Index of Parameters'!A1" display="Back to top"/>
    <hyperlink ref="C11" location="'Index of Parameters'!E149" display="ropteffort"/>
    <hyperlink ref="E152:F152" location="'Index of Parameters'!A1" display="Back to top"/>
    <hyperlink ref="C12" location="'Index of Parameters'!E167" display="incr"/>
    <hyperlink ref="C14" location="'Index of Parameters'!E185" display="- range:"/>
    <hyperlink ref="E170:F170" location="'Index of Parameters'!A1" display="Back to top"/>
    <hyperlink ref="E188:F188" location="'Index of Parameters'!A1" display="Back to top"/>
    <hyperlink ref="C17" location="'Index of Parameters'!E203" display="mfb0"/>
    <hyperlink ref="C18" location="'Index of Parameters'!E203" display="mfb1"/>
    <hyperlink ref="E206:F206" location="'Index of Parameters'!A1" display="Back to top"/>
    <hyperlink ref="C21" location="'Index of Parameters'!E221" display="ncurves0"/>
    <hyperlink ref="C22" location="'Index of Parameters'!E221" display="ncurves1"/>
    <hyperlink ref="E224:F224" location="'Index of Parameters'!A1" display="Back to top"/>
    <hyperlink ref="C24" location="'Index of Parameters'!E239" display="I"/>
  </hyperlink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P314"/>
  <sheetViews>
    <sheetView zoomScaleNormal="100" workbookViewId="0"/>
  </sheetViews>
  <sheetFormatPr defaultColWidth="8.85546875" defaultRowHeight="15" x14ac:dyDescent="0.25"/>
  <cols>
    <col min="1" max="1" width="3" style="2" bestFit="1" customWidth="1"/>
    <col min="2" max="2" width="3.5703125" style="2" bestFit="1" customWidth="1"/>
    <col min="3" max="3" width="21.140625" style="2" customWidth="1"/>
    <col min="4" max="4" width="3.7109375" style="84" hidden="1" customWidth="1"/>
    <col min="5" max="8" width="7.28515625" style="54" bestFit="1" customWidth="1"/>
    <col min="9" max="9" width="8.5703125" style="54" bestFit="1" customWidth="1"/>
    <col min="10" max="10" width="7.28515625" style="54" bestFit="1" customWidth="1"/>
    <col min="11" max="13" width="8.5703125" style="54" bestFit="1" customWidth="1"/>
    <col min="14" max="15" width="9.7109375" style="54" bestFit="1" customWidth="1"/>
    <col min="16" max="16" width="8.5703125" style="54" bestFit="1" customWidth="1"/>
    <col min="17" max="17" width="9.7109375" style="54" bestFit="1" customWidth="1"/>
    <col min="18" max="18" width="8.5703125" style="54" bestFit="1" customWidth="1"/>
    <col min="19" max="20" width="9.7109375" style="54" bestFit="1" customWidth="1"/>
    <col min="21" max="21" width="11" style="54" bestFit="1" customWidth="1"/>
    <col min="22" max="25" width="8.5703125" style="54" bestFit="1" customWidth="1"/>
    <col min="26" max="28" width="9.7109375" style="54" bestFit="1" customWidth="1"/>
    <col min="29" max="29" width="11" style="54" bestFit="1" customWidth="1"/>
    <col min="30" max="30" width="9.7109375" style="54" bestFit="1" customWidth="1"/>
    <col min="31" max="31" width="12.28515625" style="54" bestFit="1" customWidth="1"/>
    <col min="32" max="35" width="11" style="54" bestFit="1" customWidth="1"/>
    <col min="36" max="41" width="12.28515625" style="54" bestFit="1" customWidth="1"/>
    <col min="42" max="16384" width="8.85546875" style="2"/>
  </cols>
  <sheetData>
    <row r="1" spans="2:42" ht="15" customHeight="1" x14ac:dyDescent="0.25"/>
    <row r="2" spans="2:42" s="33" customFormat="1" ht="15" customHeight="1" x14ac:dyDescent="0.25">
      <c r="D2" s="85"/>
      <c r="E2" s="59" t="s">
        <v>0</v>
      </c>
      <c r="F2" s="59" t="s">
        <v>1</v>
      </c>
      <c r="G2" s="59" t="s">
        <v>2</v>
      </c>
      <c r="H2" s="59" t="s">
        <v>3</v>
      </c>
      <c r="I2" s="59" t="s">
        <v>4</v>
      </c>
      <c r="J2" s="59" t="s">
        <v>5</v>
      </c>
      <c r="K2" s="59" t="s">
        <v>6</v>
      </c>
      <c r="L2" s="59" t="s">
        <v>7</v>
      </c>
      <c r="M2" s="59" t="s">
        <v>8</v>
      </c>
      <c r="N2" s="59" t="s">
        <v>9</v>
      </c>
      <c r="O2" s="59" t="s">
        <v>10</v>
      </c>
      <c r="P2" s="59" t="s">
        <v>11</v>
      </c>
      <c r="Q2" s="59" t="s">
        <v>12</v>
      </c>
      <c r="R2" s="59" t="s">
        <v>13</v>
      </c>
      <c r="S2" s="59" t="s">
        <v>14</v>
      </c>
      <c r="T2" s="59" t="s">
        <v>15</v>
      </c>
      <c r="U2" s="59" t="s">
        <v>16</v>
      </c>
      <c r="V2" s="59" t="s">
        <v>17</v>
      </c>
      <c r="W2" s="59" t="s">
        <v>18</v>
      </c>
      <c r="X2" s="59" t="s">
        <v>19</v>
      </c>
      <c r="Y2" s="59" t="s">
        <v>20</v>
      </c>
      <c r="Z2" s="59" t="s">
        <v>21</v>
      </c>
      <c r="AA2" s="59" t="s">
        <v>22</v>
      </c>
      <c r="AB2" s="59" t="s">
        <v>23</v>
      </c>
      <c r="AC2" s="59" t="s">
        <v>24</v>
      </c>
      <c r="AD2" s="59" t="s">
        <v>25</v>
      </c>
      <c r="AE2" s="59" t="s">
        <v>26</v>
      </c>
      <c r="AF2" s="59" t="s">
        <v>27</v>
      </c>
      <c r="AG2" s="59" t="s">
        <v>28</v>
      </c>
      <c r="AH2" s="59" t="s">
        <v>29</v>
      </c>
      <c r="AI2" s="59" t="s">
        <v>30</v>
      </c>
      <c r="AJ2" s="59" t="s">
        <v>31</v>
      </c>
      <c r="AK2" s="59" t="s">
        <v>32</v>
      </c>
      <c r="AL2" s="59" t="s">
        <v>33</v>
      </c>
      <c r="AM2" s="59" t="s">
        <v>34</v>
      </c>
      <c r="AN2" s="59" t="s">
        <v>35</v>
      </c>
      <c r="AO2" s="59" t="s">
        <v>36</v>
      </c>
    </row>
    <row r="3" spans="2:42" ht="15" customHeight="1" x14ac:dyDescent="0.25">
      <c r="B3" s="149" t="s">
        <v>40</v>
      </c>
      <c r="C3" s="111" t="s">
        <v>41</v>
      </c>
      <c r="D3" s="86" t="s">
        <v>1455</v>
      </c>
      <c r="E3" s="54">
        <f ca="1">INDIRECT(CONCATENATE("'",E$2,"'!",$D3))</f>
        <v>1.7999999999999999E-2</v>
      </c>
      <c r="F3" s="54">
        <f t="shared" ref="F3:AO3" ca="1" si="0">INDIRECT(CONCATENATE("'",F$2,"'!",$D3))</f>
        <v>0.97000000000000008</v>
      </c>
      <c r="G3" s="54">
        <f t="shared" ca="1" si="0"/>
        <v>1.982</v>
      </c>
      <c r="H3" s="54">
        <f t="shared" ca="1" si="0"/>
        <v>3.8540000000000001</v>
      </c>
      <c r="I3" s="54">
        <f t="shared" ca="1" si="0"/>
        <v>8.0120000000000005</v>
      </c>
      <c r="J3" s="54">
        <f t="shared" ca="1" si="0"/>
        <v>6.1220000000000008</v>
      </c>
      <c r="K3" s="54">
        <f t="shared" ca="1" si="0"/>
        <v>21.686</v>
      </c>
      <c r="L3" s="54">
        <f t="shared" ca="1" si="0"/>
        <v>65.662000000000006</v>
      </c>
      <c r="M3" s="54">
        <f t="shared" ca="1" si="0"/>
        <v>65.816000000000003</v>
      </c>
      <c r="N3" s="54">
        <f t="shared" ca="1" si="0"/>
        <v>62.636000000000003</v>
      </c>
      <c r="O3" s="54">
        <f t="shared" ca="1" si="0"/>
        <v>220.74600000000001</v>
      </c>
      <c r="P3" s="54">
        <f t="shared" ca="1" si="0"/>
        <v>1116.1580000000001</v>
      </c>
      <c r="Q3" s="54">
        <f t="shared" ca="1" si="0"/>
        <v>1104.17</v>
      </c>
      <c r="R3" s="54">
        <f t="shared" ca="1" si="0"/>
        <v>1322.7739999999999</v>
      </c>
      <c r="S3" s="54">
        <f t="shared" ca="1" si="0"/>
        <v>1989.4180000000001</v>
      </c>
      <c r="T3" s="54">
        <f t="shared" ca="1" si="0"/>
        <v>6571.6460000000006</v>
      </c>
      <c r="U3" s="54">
        <f t="shared" ca="1" si="0"/>
        <v>9934.5459999999985</v>
      </c>
      <c r="V3" s="54">
        <f t="shared" ca="1" si="0"/>
        <v>31104.02</v>
      </c>
      <c r="W3" s="54">
        <f t="shared" ca="1" si="0"/>
        <v>55252.819999999992</v>
      </c>
      <c r="X3" s="54">
        <f t="shared" ca="1" si="0"/>
        <v>68262.439999999988</v>
      </c>
      <c r="Y3" s="54">
        <f t="shared" ca="1" si="0"/>
        <v>89399.72</v>
      </c>
      <c r="Z3" s="54">
        <f t="shared" ca="1" si="0"/>
        <v>214916.2</v>
      </c>
      <c r="AA3" s="54">
        <f t="shared" ca="1" si="0"/>
        <v>686613.4</v>
      </c>
      <c r="AB3" s="54">
        <f t="shared" ca="1" si="0"/>
        <v>1519382</v>
      </c>
      <c r="AC3" s="54">
        <f t="shared" ca="1" si="0"/>
        <v>3938938</v>
      </c>
      <c r="AD3" s="54">
        <f t="shared" ca="1" si="0"/>
        <v>2322988</v>
      </c>
      <c r="AE3" s="54">
        <f t="shared" ca="1" si="0"/>
        <v>1059274</v>
      </c>
      <c r="AF3" s="54">
        <f t="shared" ca="1" si="0"/>
        <v>6679416</v>
      </c>
      <c r="AG3" s="54" t="e">
        <f t="shared" ca="1" si="0"/>
        <v>#DIV/0!</v>
      </c>
      <c r="AH3" s="54" t="e">
        <f t="shared" ca="1" si="0"/>
        <v>#DIV/0!</v>
      </c>
      <c r="AI3" s="54" t="e">
        <f t="shared" ca="1" si="0"/>
        <v>#DIV/0!</v>
      </c>
      <c r="AJ3" s="54" t="e">
        <f t="shared" ca="1" si="0"/>
        <v>#DIV/0!</v>
      </c>
      <c r="AK3" s="54" t="e">
        <f t="shared" ca="1" si="0"/>
        <v>#DIV/0!</v>
      </c>
      <c r="AL3" s="54" t="e">
        <f t="shared" ca="1" si="0"/>
        <v>#DIV/0!</v>
      </c>
      <c r="AM3" s="54" t="e">
        <f t="shared" ca="1" si="0"/>
        <v>#DIV/0!</v>
      </c>
      <c r="AN3" s="54" t="e">
        <f t="shared" ca="1" si="0"/>
        <v>#DIV/0!</v>
      </c>
      <c r="AO3" s="54" t="e">
        <f t="shared" ca="1" si="0"/>
        <v>#DIV/0!</v>
      </c>
    </row>
    <row r="4" spans="2:42" x14ac:dyDescent="0.25">
      <c r="B4" s="149"/>
      <c r="C4" s="10"/>
      <c r="D4" s="87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54"/>
    </row>
    <row r="5" spans="2:42" x14ac:dyDescent="0.25">
      <c r="B5" s="149"/>
      <c r="C5" s="10"/>
      <c r="D5" s="87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54"/>
    </row>
    <row r="6" spans="2:42" x14ac:dyDescent="0.25">
      <c r="B6" s="149"/>
      <c r="C6" s="10"/>
      <c r="D6" s="8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54"/>
    </row>
    <row r="7" spans="2:42" x14ac:dyDescent="0.25">
      <c r="B7" s="149"/>
      <c r="C7" s="10"/>
      <c r="D7" s="88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54"/>
    </row>
    <row r="8" spans="2:42" x14ac:dyDescent="0.25">
      <c r="B8" s="149"/>
      <c r="C8" s="10"/>
      <c r="D8" s="8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54"/>
    </row>
    <row r="9" spans="2:42" x14ac:dyDescent="0.25">
      <c r="B9" s="149"/>
      <c r="C9" s="10"/>
      <c r="D9" s="8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54"/>
    </row>
    <row r="10" spans="2:42" x14ac:dyDescent="0.25">
      <c r="B10" s="149"/>
      <c r="C10" s="10"/>
      <c r="D10" s="88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54"/>
    </row>
    <row r="11" spans="2:42" x14ac:dyDescent="0.25">
      <c r="B11" s="149"/>
      <c r="C11" s="11"/>
      <c r="D11" s="8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54"/>
    </row>
    <row r="12" spans="2:42" x14ac:dyDescent="0.25">
      <c r="B12" s="149"/>
      <c r="C12" s="112" t="s">
        <v>42</v>
      </c>
      <c r="D12" s="86" t="s">
        <v>1467</v>
      </c>
      <c r="E12" s="54">
        <f ca="1">INDIRECT(CONCATENATE("'",E$2,"'!",$D12))</f>
        <v>6.9999999999999993E-2</v>
      </c>
      <c r="F12" s="54">
        <f t="shared" ref="F12:AO12" ca="1" si="1">INDIRECT(CONCATENATE("'",F$2,"'!",$D12))</f>
        <v>6.218</v>
      </c>
      <c r="G12" s="54">
        <f t="shared" ca="1" si="1"/>
        <v>9.3239999999999998</v>
      </c>
      <c r="H12" s="54">
        <f t="shared" ca="1" si="1"/>
        <v>13.315999999999999</v>
      </c>
      <c r="I12" s="54">
        <f t="shared" ca="1" si="1"/>
        <v>19.660000000000004</v>
      </c>
      <c r="J12" s="54">
        <f t="shared" ca="1" si="1"/>
        <v>22.342000000000002</v>
      </c>
      <c r="K12" s="54">
        <f t="shared" ca="1" si="1"/>
        <v>34.322000000000003</v>
      </c>
      <c r="L12" s="54">
        <f t="shared" ca="1" si="1"/>
        <v>47.258000000000003</v>
      </c>
      <c r="M12" s="54">
        <f t="shared" ca="1" si="1"/>
        <v>49.178000000000004</v>
      </c>
      <c r="N12" s="54">
        <f t="shared" ca="1" si="1"/>
        <v>73.217999999999989</v>
      </c>
      <c r="O12" s="54">
        <f t="shared" ca="1" si="1"/>
        <v>149.244</v>
      </c>
      <c r="P12" s="54">
        <f t="shared" ca="1" si="1"/>
        <v>347.70600000000002</v>
      </c>
      <c r="Q12" s="54">
        <f t="shared" ca="1" si="1"/>
        <v>221.70999999999998</v>
      </c>
      <c r="R12" s="54">
        <f t="shared" ca="1" si="1"/>
        <v>538.16599999999994</v>
      </c>
      <c r="S12" s="54">
        <f t="shared" ca="1" si="1"/>
        <v>1414.5540000000001</v>
      </c>
      <c r="T12" s="54">
        <f t="shared" ca="1" si="1"/>
        <v>2721.2780000000002</v>
      </c>
      <c r="U12" s="54">
        <f t="shared" ca="1" si="1"/>
        <v>3575.9139999999998</v>
      </c>
      <c r="V12" s="54">
        <f t="shared" ca="1" si="1"/>
        <v>4252.116</v>
      </c>
      <c r="W12" s="54">
        <f t="shared" ca="1" si="1"/>
        <v>2541.1059999999998</v>
      </c>
      <c r="X12" s="54">
        <f t="shared" ca="1" si="1"/>
        <v>6808.0400000000009</v>
      </c>
      <c r="Y12" s="54">
        <f t="shared" ca="1" si="1"/>
        <v>7946.2619999999997</v>
      </c>
      <c r="Z12" s="54">
        <f t="shared" ca="1" si="1"/>
        <v>6653.4179999999997</v>
      </c>
      <c r="AA12" s="54">
        <f t="shared" ca="1" si="1"/>
        <v>5894.7060000000001</v>
      </c>
      <c r="AB12" s="54">
        <f t="shared" ca="1" si="1"/>
        <v>6990.68</v>
      </c>
      <c r="AC12" s="54">
        <f t="shared" ca="1" si="1"/>
        <v>6005.8200000000006</v>
      </c>
      <c r="AD12" s="54">
        <f t="shared" ca="1" si="1"/>
        <v>9445.86</v>
      </c>
      <c r="AE12" s="54">
        <f t="shared" ca="1" si="1"/>
        <v>8454.6499999999978</v>
      </c>
      <c r="AF12" s="54">
        <f t="shared" ca="1" si="1"/>
        <v>12756.58</v>
      </c>
      <c r="AG12" s="54" t="e">
        <f t="shared" ca="1" si="1"/>
        <v>#DIV/0!</v>
      </c>
      <c r="AH12" s="54" t="e">
        <f t="shared" ca="1" si="1"/>
        <v>#DIV/0!</v>
      </c>
      <c r="AI12" s="54" t="e">
        <f t="shared" ca="1" si="1"/>
        <v>#DIV/0!</v>
      </c>
      <c r="AJ12" s="54" t="e">
        <f t="shared" ca="1" si="1"/>
        <v>#DIV/0!</v>
      </c>
      <c r="AK12" s="54" t="e">
        <f t="shared" ca="1" si="1"/>
        <v>#DIV/0!</v>
      </c>
      <c r="AL12" s="54" t="e">
        <f t="shared" ca="1" si="1"/>
        <v>#DIV/0!</v>
      </c>
      <c r="AM12" s="54" t="e">
        <f t="shared" ca="1" si="1"/>
        <v>#DIV/0!</v>
      </c>
      <c r="AN12" s="54" t="e">
        <f t="shared" ca="1" si="1"/>
        <v>#DIV/0!</v>
      </c>
      <c r="AO12" s="54" t="e">
        <f t="shared" ca="1" si="1"/>
        <v>#DIV/0!</v>
      </c>
      <c r="AP12" s="54"/>
    </row>
    <row r="13" spans="2:42" x14ac:dyDescent="0.25">
      <c r="B13" s="149"/>
      <c r="C13" s="11"/>
      <c r="D13" s="8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54"/>
    </row>
    <row r="14" spans="2:42" x14ac:dyDescent="0.25">
      <c r="B14" s="149"/>
      <c r="C14" s="112" t="s">
        <v>43</v>
      </c>
      <c r="D14" s="87" t="s">
        <v>1468</v>
      </c>
      <c r="E14" s="54">
        <f ca="1">INDIRECT(CONCATENATE("'",E$2,"'!",$D14))</f>
        <v>1.8000000000000002E-2</v>
      </c>
      <c r="F14" s="54">
        <f t="shared" ref="F14:AO14" ca="1" si="2">INDIRECT(CONCATENATE("'",F$2,"'!",$D14))</f>
        <v>9.1999999999999998E-2</v>
      </c>
      <c r="G14" s="54">
        <f t="shared" ca="1" si="2"/>
        <v>0.188</v>
      </c>
      <c r="H14" s="54">
        <f t="shared" ca="1" si="2"/>
        <v>0.2</v>
      </c>
      <c r="I14" s="54">
        <f t="shared" ca="1" si="2"/>
        <v>0.23599999999999999</v>
      </c>
      <c r="J14" s="54">
        <f t="shared" ca="1" si="2"/>
        <v>0.27800000000000002</v>
      </c>
      <c r="K14" s="54">
        <f t="shared" ca="1" si="2"/>
        <v>0.44400000000000006</v>
      </c>
      <c r="L14" s="54">
        <f t="shared" ca="1" si="2"/>
        <v>0.65600000000000003</v>
      </c>
      <c r="M14" s="54">
        <f t="shared" ca="1" si="2"/>
        <v>2.1680000000000001</v>
      </c>
      <c r="N14" s="54">
        <f t="shared" ca="1" si="2"/>
        <v>0.84599999999999986</v>
      </c>
      <c r="O14" s="54">
        <f t="shared" ca="1" si="2"/>
        <v>0.97199999999999986</v>
      </c>
      <c r="P14" s="54">
        <f t="shared" ca="1" si="2"/>
        <v>3.66</v>
      </c>
      <c r="Q14" s="54" t="e">
        <f t="shared" ca="1" si="2"/>
        <v>#DIV/0!</v>
      </c>
      <c r="R14" s="54" t="e">
        <f t="shared" ca="1" si="2"/>
        <v>#DIV/0!</v>
      </c>
      <c r="S14" s="54" t="e">
        <f t="shared" ca="1" si="2"/>
        <v>#DIV/0!</v>
      </c>
      <c r="T14" s="54" t="e">
        <f t="shared" ca="1" si="2"/>
        <v>#DIV/0!</v>
      </c>
      <c r="U14" s="54" t="e">
        <f t="shared" ca="1" si="2"/>
        <v>#DIV/0!</v>
      </c>
      <c r="V14" s="54" t="e">
        <f t="shared" ca="1" si="2"/>
        <v>#DIV/0!</v>
      </c>
      <c r="W14" s="54" t="e">
        <f t="shared" ca="1" si="2"/>
        <v>#DIV/0!</v>
      </c>
      <c r="X14" s="54" t="e">
        <f t="shared" ca="1" si="2"/>
        <v>#DIV/0!</v>
      </c>
      <c r="Y14" s="54" t="e">
        <f t="shared" ca="1" si="2"/>
        <v>#DIV/0!</v>
      </c>
      <c r="Z14" s="54" t="e">
        <f t="shared" ca="1" si="2"/>
        <v>#DIV/0!</v>
      </c>
      <c r="AA14" s="54" t="e">
        <f t="shared" ca="1" si="2"/>
        <v>#DIV/0!</v>
      </c>
      <c r="AB14" s="54" t="e">
        <f t="shared" ca="1" si="2"/>
        <v>#DIV/0!</v>
      </c>
      <c r="AC14" s="54" t="e">
        <f t="shared" ca="1" si="2"/>
        <v>#DIV/0!</v>
      </c>
      <c r="AD14" s="54" t="e">
        <f t="shared" ca="1" si="2"/>
        <v>#DIV/0!</v>
      </c>
      <c r="AE14" s="54" t="e">
        <f t="shared" ca="1" si="2"/>
        <v>#DIV/0!</v>
      </c>
      <c r="AF14" s="54" t="e">
        <f t="shared" ca="1" si="2"/>
        <v>#DIV/0!</v>
      </c>
      <c r="AG14" s="54" t="e">
        <f t="shared" ca="1" si="2"/>
        <v>#DIV/0!</v>
      </c>
      <c r="AH14" s="54" t="e">
        <f t="shared" ca="1" si="2"/>
        <v>#DIV/0!</v>
      </c>
      <c r="AI14" s="54" t="e">
        <f t="shared" ca="1" si="2"/>
        <v>#DIV/0!</v>
      </c>
      <c r="AJ14" s="54" t="e">
        <f t="shared" ca="1" si="2"/>
        <v>#DIV/0!</v>
      </c>
      <c r="AK14" s="54" t="e">
        <f t="shared" ca="1" si="2"/>
        <v>#DIV/0!</v>
      </c>
      <c r="AL14" s="54" t="e">
        <f t="shared" ca="1" si="2"/>
        <v>#DIV/0!</v>
      </c>
      <c r="AM14" s="54" t="e">
        <f t="shared" ca="1" si="2"/>
        <v>#DIV/0!</v>
      </c>
      <c r="AN14" s="54" t="e">
        <f t="shared" ca="1" si="2"/>
        <v>#DIV/0!</v>
      </c>
      <c r="AO14" s="54" t="e">
        <f t="shared" ca="1" si="2"/>
        <v>#DIV/0!</v>
      </c>
      <c r="AP14" s="54"/>
    </row>
    <row r="15" spans="2:42" x14ac:dyDescent="0.25">
      <c r="B15" s="149"/>
      <c r="C15" s="11"/>
      <c r="D15" s="8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54"/>
    </row>
    <row r="16" spans="2:42" x14ac:dyDescent="0.25">
      <c r="B16" s="149"/>
      <c r="C16" s="112" t="s">
        <v>44</v>
      </c>
      <c r="D16" s="84" t="s">
        <v>1469</v>
      </c>
      <c r="E16" s="54">
        <f ca="1">INDIRECT(CONCATENATE("'",E$2,"'!",$D16))</f>
        <v>0.08</v>
      </c>
      <c r="F16" s="54">
        <f t="shared" ref="F16:AO16" ca="1" si="3">INDIRECT(CONCATENATE("'",F$2,"'!",$D16))</f>
        <v>0.38400000000000001</v>
      </c>
      <c r="G16" s="54">
        <f t="shared" ca="1" si="3"/>
        <v>0.75</v>
      </c>
      <c r="H16" s="54">
        <f t="shared" ca="1" si="3"/>
        <v>1.5</v>
      </c>
      <c r="I16" s="54">
        <f t="shared" ca="1" si="3"/>
        <v>1.5219999999999998</v>
      </c>
      <c r="J16" s="54">
        <f t="shared" ca="1" si="3"/>
        <v>1.516</v>
      </c>
      <c r="K16" s="54">
        <f t="shared" ca="1" si="3"/>
        <v>3.03</v>
      </c>
      <c r="L16" s="54">
        <f t="shared" ca="1" si="3"/>
        <v>6.048</v>
      </c>
      <c r="M16" s="54">
        <f t="shared" ca="1" si="3"/>
        <v>6.0619999999999994</v>
      </c>
      <c r="N16" s="54">
        <f t="shared" ca="1" si="3"/>
        <v>23.711999999999996</v>
      </c>
      <c r="O16" s="54">
        <f t="shared" ca="1" si="3"/>
        <v>12.086000000000002</v>
      </c>
      <c r="P16" s="54">
        <f t="shared" ca="1" si="3"/>
        <v>31.919999999999998</v>
      </c>
      <c r="Q16" s="54" t="e">
        <f t="shared" ca="1" si="3"/>
        <v>#DIV/0!</v>
      </c>
      <c r="R16" s="54" t="e">
        <f t="shared" ca="1" si="3"/>
        <v>#DIV/0!</v>
      </c>
      <c r="S16" s="54" t="e">
        <f t="shared" ca="1" si="3"/>
        <v>#DIV/0!</v>
      </c>
      <c r="T16" s="54" t="e">
        <f t="shared" ca="1" si="3"/>
        <v>#DIV/0!</v>
      </c>
      <c r="U16" s="54" t="e">
        <f t="shared" ca="1" si="3"/>
        <v>#DIV/0!</v>
      </c>
      <c r="V16" s="54" t="e">
        <f t="shared" ca="1" si="3"/>
        <v>#DIV/0!</v>
      </c>
      <c r="W16" s="54" t="e">
        <f t="shared" ca="1" si="3"/>
        <v>#DIV/0!</v>
      </c>
      <c r="X16" s="54" t="e">
        <f t="shared" ca="1" si="3"/>
        <v>#DIV/0!</v>
      </c>
      <c r="Y16" s="54" t="e">
        <f t="shared" ca="1" si="3"/>
        <v>#DIV/0!</v>
      </c>
      <c r="Z16" s="54" t="e">
        <f t="shared" ca="1" si="3"/>
        <v>#DIV/0!</v>
      </c>
      <c r="AA16" s="54" t="e">
        <f t="shared" ca="1" si="3"/>
        <v>#DIV/0!</v>
      </c>
      <c r="AB16" s="54" t="e">
        <f t="shared" ca="1" si="3"/>
        <v>#DIV/0!</v>
      </c>
      <c r="AC16" s="54" t="e">
        <f t="shared" ca="1" si="3"/>
        <v>#DIV/0!</v>
      </c>
      <c r="AD16" s="54" t="e">
        <f t="shared" ca="1" si="3"/>
        <v>#DIV/0!</v>
      </c>
      <c r="AE16" s="54" t="e">
        <f t="shared" ca="1" si="3"/>
        <v>#DIV/0!</v>
      </c>
      <c r="AF16" s="54" t="e">
        <f t="shared" ca="1" si="3"/>
        <v>#DIV/0!</v>
      </c>
      <c r="AG16" s="54" t="e">
        <f t="shared" ca="1" si="3"/>
        <v>#DIV/0!</v>
      </c>
      <c r="AH16" s="54" t="e">
        <f t="shared" ca="1" si="3"/>
        <v>#DIV/0!</v>
      </c>
      <c r="AI16" s="54" t="e">
        <f t="shared" ca="1" si="3"/>
        <v>#DIV/0!</v>
      </c>
      <c r="AJ16" s="54" t="e">
        <f t="shared" ca="1" si="3"/>
        <v>#DIV/0!</v>
      </c>
      <c r="AK16" s="54" t="e">
        <f t="shared" ca="1" si="3"/>
        <v>#DIV/0!</v>
      </c>
      <c r="AL16" s="54" t="e">
        <f t="shared" ca="1" si="3"/>
        <v>#DIV/0!</v>
      </c>
      <c r="AM16" s="54" t="e">
        <f t="shared" ca="1" si="3"/>
        <v>#DIV/0!</v>
      </c>
      <c r="AN16" s="54" t="e">
        <f t="shared" ca="1" si="3"/>
        <v>#DIV/0!</v>
      </c>
      <c r="AO16" s="54" t="e">
        <f t="shared" ca="1" si="3"/>
        <v>#DIV/0!</v>
      </c>
      <c r="AP16" s="54"/>
    </row>
    <row r="17" spans="2:42" ht="14.45" customHeight="1" x14ac:dyDescent="0.25">
      <c r="B17" s="149"/>
      <c r="C17" s="10"/>
      <c r="D17" s="89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54"/>
    </row>
    <row r="18" spans="2:42" x14ac:dyDescent="0.25">
      <c r="D18" s="89"/>
      <c r="AP18" s="54"/>
    </row>
    <row r="19" spans="2:42" x14ac:dyDescent="0.25">
      <c r="D19" s="89"/>
      <c r="AP19" s="54"/>
    </row>
    <row r="20" spans="2:42" x14ac:dyDescent="0.25">
      <c r="C20" s="57" t="s">
        <v>1450</v>
      </c>
      <c r="D20" s="89" t="s">
        <v>1456</v>
      </c>
      <c r="E20" s="54">
        <f t="shared" ref="E20:AO20" ca="1" si="4">INDIRECT(CONCATENATE("'",E$2,"'!",$D20))</f>
        <v>8.8120000000000003E-5</v>
      </c>
      <c r="F20" s="54">
        <f t="shared" ca="1" si="4"/>
        <v>4.0340000000000008E-7</v>
      </c>
      <c r="G20" s="54">
        <f t="shared" ca="1" si="4"/>
        <v>3.432E-7</v>
      </c>
      <c r="H20" s="54">
        <f t="shared" ca="1" si="4"/>
        <v>1.8420000000000002E-7</v>
      </c>
      <c r="I20" s="54">
        <f t="shared" ca="1" si="4"/>
        <v>5.9119999999999996E-8</v>
      </c>
      <c r="J20" s="54">
        <f t="shared" ca="1" si="4"/>
        <v>3.5140000000000002E-8</v>
      </c>
      <c r="K20" s="54">
        <f t="shared" ca="1" si="4"/>
        <v>3.372E-8</v>
      </c>
      <c r="L20" s="54">
        <f t="shared" ca="1" si="4"/>
        <v>2.0079999999999998E-8</v>
      </c>
      <c r="M20" s="54">
        <f t="shared" ca="1" si="4"/>
        <v>3.6740000000000003E-8</v>
      </c>
      <c r="N20" s="54">
        <f t="shared" ca="1" si="4"/>
        <v>9.8199999999999996E-9</v>
      </c>
      <c r="O20" s="54">
        <f t="shared" ca="1" si="4"/>
        <v>4.5280000000000001E-9</v>
      </c>
      <c r="P20" s="54">
        <f t="shared" ca="1" si="4"/>
        <v>5.0079999999999992E-9</v>
      </c>
      <c r="Q20" s="54">
        <f t="shared" ca="1" si="4"/>
        <v>2.0780000000000001E-9</v>
      </c>
      <c r="R20" s="54">
        <f t="shared" ca="1" si="4"/>
        <v>1.8E-9</v>
      </c>
      <c r="S20" s="54">
        <f t="shared" ca="1" si="4"/>
        <v>6.344E-10</v>
      </c>
      <c r="T20" s="54">
        <f t="shared" ca="1" si="4"/>
        <v>1.742E-9</v>
      </c>
      <c r="U20" s="54">
        <f t="shared" ca="1" si="4"/>
        <v>3.8920000000000001E-10</v>
      </c>
      <c r="V20" s="54">
        <f t="shared" ca="1" si="4"/>
        <v>8.5660000000000002E-10</v>
      </c>
      <c r="W20" s="54">
        <f t="shared" ca="1" si="4"/>
        <v>2.98E-10</v>
      </c>
      <c r="X20" s="54">
        <f t="shared" ca="1" si="4"/>
        <v>3.482E-10</v>
      </c>
      <c r="Y20" s="54">
        <f t="shared" ca="1" si="4"/>
        <v>8.7059999999999982E-11</v>
      </c>
      <c r="Z20" s="54">
        <f t="shared" ca="1" si="4"/>
        <v>6.5140000000000007E-11</v>
      </c>
      <c r="AA20" s="54">
        <f t="shared" ca="1" si="4"/>
        <v>3.8060000000000002E-11</v>
      </c>
      <c r="AB20" s="54">
        <f t="shared" ca="1" si="4"/>
        <v>1.3660000000000003E-11</v>
      </c>
      <c r="AC20" s="54">
        <f t="shared" ca="1" si="4"/>
        <v>9.8679999999999996E-12</v>
      </c>
      <c r="AD20" s="54">
        <f t="shared" ca="1" si="4"/>
        <v>3.7460000000000006E-11</v>
      </c>
      <c r="AE20" s="54">
        <f t="shared" ca="1" si="4"/>
        <v>4.552E-12</v>
      </c>
      <c r="AF20" s="54">
        <f t="shared" ca="1" si="4"/>
        <v>8.8660000000000004E-12</v>
      </c>
      <c r="AG20" s="54" t="e">
        <f t="shared" ca="1" si="4"/>
        <v>#DIV/0!</v>
      </c>
      <c r="AH20" s="54" t="e">
        <f t="shared" ca="1" si="4"/>
        <v>#DIV/0!</v>
      </c>
      <c r="AI20" s="54" t="e">
        <f t="shared" ca="1" si="4"/>
        <v>#DIV/0!</v>
      </c>
      <c r="AJ20" s="54" t="e">
        <f t="shared" ca="1" si="4"/>
        <v>#DIV/0!</v>
      </c>
      <c r="AK20" s="54" t="e">
        <f t="shared" ca="1" si="4"/>
        <v>#DIV/0!</v>
      </c>
      <c r="AL20" s="54" t="e">
        <f t="shared" ca="1" si="4"/>
        <v>#DIV/0!</v>
      </c>
      <c r="AM20" s="54" t="e">
        <f t="shared" ca="1" si="4"/>
        <v>#DIV/0!</v>
      </c>
      <c r="AN20" s="54" t="e">
        <f t="shared" ca="1" si="4"/>
        <v>#DIV/0!</v>
      </c>
      <c r="AO20" s="54" t="e">
        <f t="shared" ca="1" si="4"/>
        <v>#DIV/0!</v>
      </c>
      <c r="AP20" s="54"/>
    </row>
    <row r="22" spans="2:42" x14ac:dyDescent="0.25">
      <c r="C22" t="s">
        <v>1471</v>
      </c>
      <c r="D22" s="89" t="s">
        <v>1482</v>
      </c>
      <c r="X22" s="54">
        <f t="shared" ref="X22:AF22" ca="1" si="5">INDIRECT(CONCATENATE("'",X$2,"'!",$D22))</f>
        <v>2417.8325</v>
      </c>
      <c r="Y22" s="54">
        <f t="shared" ca="1" si="5"/>
        <v>2970.3197500000001</v>
      </c>
      <c r="Z22" s="54">
        <f t="shared" ca="1" si="5"/>
        <v>6611.7698</v>
      </c>
      <c r="AA22" s="54">
        <f t="shared" ca="1" si="5"/>
        <v>20010.906599999998</v>
      </c>
      <c r="AB22" s="54">
        <f t="shared" ca="1" si="5"/>
        <v>43877.4</v>
      </c>
      <c r="AC22" s="54">
        <f t="shared" ca="1" si="5"/>
        <v>118806.6</v>
      </c>
      <c r="AD22" s="54">
        <f t="shared" ca="1" si="5"/>
        <v>66586.600000000006</v>
      </c>
      <c r="AE22" s="54">
        <f t="shared" ca="1" si="5"/>
        <v>31718</v>
      </c>
      <c r="AF22" s="54">
        <f t="shared" ca="1" si="5"/>
        <v>196908.2</v>
      </c>
      <c r="AP22" s="54"/>
    </row>
    <row r="23" spans="2:42" x14ac:dyDescent="0.25">
      <c r="D23" s="89"/>
      <c r="AP23" s="54"/>
    </row>
    <row r="24" spans="2:42" x14ac:dyDescent="0.25">
      <c r="C24" s="39" t="s">
        <v>1363</v>
      </c>
      <c r="D24" s="89"/>
      <c r="AP24" s="54"/>
    </row>
    <row r="25" spans="2:42" x14ac:dyDescent="0.25">
      <c r="B25" s="152" t="s">
        <v>45</v>
      </c>
      <c r="C25" s="113" t="s">
        <v>45</v>
      </c>
      <c r="D25" s="89" t="s">
        <v>1457</v>
      </c>
      <c r="E25" s="54">
        <f ca="1">INDIRECT(CONCATENATE("'",E$2,"'!",$D25))</f>
        <v>1.484</v>
      </c>
      <c r="F25" s="54">
        <f t="shared" ref="F25:AO25" ca="1" si="6">INDIRECT(CONCATENATE("'",F$2,"'!",$D25))</f>
        <v>32.396000000000001</v>
      </c>
      <c r="G25" s="54">
        <f t="shared" ca="1" si="6"/>
        <v>62.172000000000004</v>
      </c>
      <c r="H25" s="54">
        <f t="shared" ca="1" si="6"/>
        <v>99.792000000000002</v>
      </c>
      <c r="I25" s="54">
        <f t="shared" ca="1" si="6"/>
        <v>214.33</v>
      </c>
      <c r="J25" s="54">
        <f t="shared" ca="1" si="6"/>
        <v>459.06599999999997</v>
      </c>
      <c r="K25" s="54">
        <f t="shared" ca="1" si="6"/>
        <v>800.00400000000002</v>
      </c>
      <c r="L25" s="54">
        <f t="shared" ca="1" si="6"/>
        <v>1600.1979999999999</v>
      </c>
      <c r="M25" s="54">
        <f t="shared" ca="1" si="6"/>
        <v>4445.3599999999988</v>
      </c>
      <c r="N25" s="54">
        <f t="shared" ca="1" si="6"/>
        <v>33549.960000000006</v>
      </c>
      <c r="O25" s="54">
        <f t="shared" ca="1" si="6"/>
        <v>69998.86</v>
      </c>
      <c r="P25" s="54">
        <f t="shared" ca="1" si="6"/>
        <v>26545.8</v>
      </c>
      <c r="Q25" s="54" t="e">
        <f t="shared" ca="1" si="6"/>
        <v>#DIV/0!</v>
      </c>
      <c r="R25" s="54" t="e">
        <f t="shared" ca="1" si="6"/>
        <v>#DIV/0!</v>
      </c>
      <c r="S25" s="54" t="e">
        <f t="shared" ca="1" si="6"/>
        <v>#DIV/0!</v>
      </c>
      <c r="T25" s="54" t="e">
        <f t="shared" ca="1" si="6"/>
        <v>#DIV/0!</v>
      </c>
      <c r="U25" s="54" t="e">
        <f t="shared" ca="1" si="6"/>
        <v>#DIV/0!</v>
      </c>
      <c r="V25" s="54" t="e">
        <f t="shared" ca="1" si="6"/>
        <v>#DIV/0!</v>
      </c>
      <c r="W25" s="54" t="e">
        <f t="shared" ca="1" si="6"/>
        <v>#DIV/0!</v>
      </c>
      <c r="X25" s="54">
        <f t="shared" ca="1" si="6"/>
        <v>0</v>
      </c>
      <c r="Y25" s="54">
        <f t="shared" ca="1" si="6"/>
        <v>0</v>
      </c>
      <c r="Z25" s="54">
        <f t="shared" ca="1" si="6"/>
        <v>0</v>
      </c>
      <c r="AA25" s="54">
        <f t="shared" ca="1" si="6"/>
        <v>0</v>
      </c>
      <c r="AB25" s="54">
        <f t="shared" ca="1" si="6"/>
        <v>0</v>
      </c>
      <c r="AC25" s="54">
        <f t="shared" ca="1" si="6"/>
        <v>0</v>
      </c>
      <c r="AD25" s="54">
        <f t="shared" ca="1" si="6"/>
        <v>0</v>
      </c>
      <c r="AE25" s="54">
        <f t="shared" ca="1" si="6"/>
        <v>0</v>
      </c>
      <c r="AF25" s="54">
        <f t="shared" ca="1" si="6"/>
        <v>0</v>
      </c>
      <c r="AG25" s="54">
        <f t="shared" ca="1" si="6"/>
        <v>0</v>
      </c>
      <c r="AH25" s="54" t="e">
        <f t="shared" ca="1" si="6"/>
        <v>#DIV/0!</v>
      </c>
      <c r="AI25" s="54" t="e">
        <f t="shared" ca="1" si="6"/>
        <v>#DIV/0!</v>
      </c>
      <c r="AJ25" s="54" t="e">
        <f t="shared" ca="1" si="6"/>
        <v>#DIV/0!</v>
      </c>
      <c r="AK25" s="54" t="e">
        <f t="shared" ca="1" si="6"/>
        <v>#DIV/0!</v>
      </c>
      <c r="AL25" s="54" t="e">
        <f t="shared" ca="1" si="6"/>
        <v>#DIV/0!</v>
      </c>
      <c r="AM25" s="54" t="e">
        <f t="shared" ca="1" si="6"/>
        <v>#DIV/0!</v>
      </c>
      <c r="AN25" s="54" t="e">
        <f t="shared" ca="1" si="6"/>
        <v>#DIV/0!</v>
      </c>
      <c r="AO25" s="54" t="e">
        <f t="shared" ca="1" si="6"/>
        <v>#DIV/0!</v>
      </c>
      <c r="AP25" s="54"/>
    </row>
    <row r="26" spans="2:42" x14ac:dyDescent="0.25">
      <c r="B26" s="152"/>
      <c r="C26" s="12"/>
      <c r="D26" s="89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54"/>
    </row>
    <row r="27" spans="2:42" x14ac:dyDescent="0.25">
      <c r="B27" s="152"/>
      <c r="C27" s="12"/>
      <c r="D27" s="89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54"/>
    </row>
    <row r="28" spans="2:42" x14ac:dyDescent="0.25">
      <c r="B28" s="152"/>
      <c r="C28" s="12"/>
      <c r="D28" s="89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54"/>
    </row>
    <row r="29" spans="2:42" x14ac:dyDescent="0.25">
      <c r="B29" s="152"/>
      <c r="C29" s="12"/>
      <c r="D29" s="89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54"/>
    </row>
    <row r="30" spans="2:42" x14ac:dyDescent="0.25">
      <c r="B30" s="152"/>
      <c r="C30" s="12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54"/>
    </row>
    <row r="31" spans="2:42" ht="14.45" customHeight="1" x14ac:dyDescent="0.25">
      <c r="B31" s="152"/>
      <c r="C31" s="12"/>
      <c r="D31" s="90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54"/>
    </row>
    <row r="32" spans="2:42" x14ac:dyDescent="0.25">
      <c r="B32" s="152"/>
      <c r="C32" s="12"/>
      <c r="D32" s="90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54"/>
    </row>
    <row r="33" spans="2:42" x14ac:dyDescent="0.25">
      <c r="B33" s="152"/>
      <c r="C33" s="13"/>
      <c r="D33" s="90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54"/>
    </row>
    <row r="34" spans="2:42" x14ac:dyDescent="0.25">
      <c r="D34" s="90"/>
      <c r="AP34" s="54"/>
    </row>
    <row r="35" spans="2:42" x14ac:dyDescent="0.25">
      <c r="D35" s="90"/>
      <c r="AP35" s="54"/>
    </row>
    <row r="36" spans="2:42" x14ac:dyDescent="0.25">
      <c r="AP36" s="54"/>
    </row>
    <row r="37" spans="2:42" ht="14.45" customHeight="1" x14ac:dyDescent="0.25">
      <c r="C37" s="39" t="s">
        <v>1363</v>
      </c>
      <c r="D37" s="91"/>
      <c r="AP37" s="54"/>
    </row>
    <row r="38" spans="2:42" ht="40.15" customHeight="1" x14ac:dyDescent="0.25">
      <c r="B38" s="150" t="s">
        <v>46</v>
      </c>
      <c r="C38" s="114" t="s">
        <v>47</v>
      </c>
      <c r="D38" s="91" t="s">
        <v>1458</v>
      </c>
      <c r="E38" s="54">
        <f t="shared" ref="E38:T42" ca="1" si="7">INDIRECT(CONCATENATE("'",E$2,"'!",$D38))</f>
        <v>0.10600000000000001</v>
      </c>
      <c r="F38" s="54">
        <f t="shared" ca="1" si="7"/>
        <v>0.13200000000000001</v>
      </c>
      <c r="G38" s="54">
        <f t="shared" ca="1" si="7"/>
        <v>0.26</v>
      </c>
      <c r="H38" s="54">
        <f t="shared" ca="1" si="7"/>
        <v>0.63600000000000012</v>
      </c>
      <c r="I38" s="54">
        <f t="shared" ca="1" si="7"/>
        <v>0.59799999999999998</v>
      </c>
      <c r="J38" s="54">
        <f t="shared" ca="1" si="7"/>
        <v>0.72600000000000009</v>
      </c>
      <c r="K38" s="54">
        <f t="shared" ca="1" si="7"/>
        <v>1.1819999999999999</v>
      </c>
      <c r="L38" s="54">
        <f t="shared" ca="1" si="7"/>
        <v>2.4019999999999997</v>
      </c>
      <c r="M38" s="54">
        <f t="shared" ca="1" si="7"/>
        <v>1.9059999999999999</v>
      </c>
      <c r="N38" s="54">
        <f t="shared" ca="1" si="7"/>
        <v>5.9799999999999995</v>
      </c>
      <c r="O38" s="54">
        <f t="shared" ca="1" si="7"/>
        <v>5.104000000000001</v>
      </c>
      <c r="P38" s="54">
        <f t="shared" ca="1" si="7"/>
        <v>8.2940000000000005</v>
      </c>
      <c r="Q38" s="54" t="e">
        <f t="shared" ca="1" si="7"/>
        <v>#DIV/0!</v>
      </c>
      <c r="R38" s="54" t="e">
        <f t="shared" ca="1" si="7"/>
        <v>#DIV/0!</v>
      </c>
      <c r="S38" s="54" t="e">
        <f t="shared" ca="1" si="7"/>
        <v>#DIV/0!</v>
      </c>
      <c r="T38" s="54" t="e">
        <f t="shared" ca="1" si="7"/>
        <v>#DIV/0!</v>
      </c>
      <c r="U38" s="54" t="e">
        <f t="shared" ref="F38:AO42" ca="1" si="8">INDIRECT(CONCATENATE("'",U$2,"'!",$D38))</f>
        <v>#DIV/0!</v>
      </c>
      <c r="V38" s="54" t="e">
        <f t="shared" ca="1" si="8"/>
        <v>#DIV/0!</v>
      </c>
      <c r="W38" s="54" t="e">
        <f t="shared" ca="1" si="8"/>
        <v>#DIV/0!</v>
      </c>
      <c r="X38" s="54">
        <f t="shared" ca="1" si="8"/>
        <v>0</v>
      </c>
      <c r="Y38" s="54">
        <f t="shared" ca="1" si="8"/>
        <v>0</v>
      </c>
      <c r="Z38" s="54">
        <f t="shared" ca="1" si="8"/>
        <v>0</v>
      </c>
      <c r="AA38" s="54">
        <f t="shared" ca="1" si="8"/>
        <v>0</v>
      </c>
      <c r="AB38" s="54">
        <f t="shared" ca="1" si="8"/>
        <v>0</v>
      </c>
      <c r="AC38" s="54">
        <f t="shared" ca="1" si="8"/>
        <v>0</v>
      </c>
      <c r="AD38" s="54">
        <f t="shared" ca="1" si="8"/>
        <v>0</v>
      </c>
      <c r="AE38" s="54">
        <f t="shared" ca="1" si="8"/>
        <v>0</v>
      </c>
      <c r="AF38" s="54">
        <f t="shared" ca="1" si="8"/>
        <v>0</v>
      </c>
      <c r="AG38" s="54">
        <f t="shared" ca="1" si="8"/>
        <v>0</v>
      </c>
      <c r="AH38" s="54" t="e">
        <f t="shared" ca="1" si="8"/>
        <v>#DIV/0!</v>
      </c>
      <c r="AI38" s="54" t="e">
        <f t="shared" ca="1" si="8"/>
        <v>#DIV/0!</v>
      </c>
      <c r="AJ38" s="54" t="e">
        <f t="shared" ca="1" si="8"/>
        <v>#DIV/0!</v>
      </c>
      <c r="AK38" s="54" t="e">
        <f t="shared" ca="1" si="8"/>
        <v>#DIV/0!</v>
      </c>
      <c r="AL38" s="54" t="e">
        <f t="shared" ca="1" si="8"/>
        <v>#DIV/0!</v>
      </c>
      <c r="AM38" s="54" t="e">
        <f t="shared" ca="1" si="8"/>
        <v>#DIV/0!</v>
      </c>
      <c r="AN38" s="54" t="e">
        <f t="shared" ca="1" si="8"/>
        <v>#DIV/0!</v>
      </c>
      <c r="AO38" s="54" t="e">
        <f t="shared" ca="1" si="8"/>
        <v>#DIV/0!</v>
      </c>
      <c r="AP38" s="54"/>
    </row>
    <row r="39" spans="2:42" ht="30" x14ac:dyDescent="0.25">
      <c r="B39" s="150"/>
      <c r="C39" s="114" t="s">
        <v>48</v>
      </c>
      <c r="D39" s="91" t="s">
        <v>1459</v>
      </c>
      <c r="E39" s="54">
        <f t="shared" ca="1" si="7"/>
        <v>0.24400000000000005</v>
      </c>
      <c r="F39" s="54">
        <f t="shared" ca="1" si="8"/>
        <v>0.32</v>
      </c>
      <c r="G39" s="54">
        <f t="shared" ca="1" si="8"/>
        <v>0.66399999999999992</v>
      </c>
      <c r="H39" s="54">
        <f t="shared" ca="1" si="8"/>
        <v>1.264</v>
      </c>
      <c r="I39" s="54">
        <f t="shared" ca="1" si="8"/>
        <v>1.9019999999999999</v>
      </c>
      <c r="J39" s="54">
        <f t="shared" ca="1" si="8"/>
        <v>2.7120000000000002</v>
      </c>
      <c r="K39" s="54">
        <f t="shared" ca="1" si="8"/>
        <v>5.0440000000000005</v>
      </c>
      <c r="L39" s="54">
        <f t="shared" ca="1" si="8"/>
        <v>8.0020000000000007</v>
      </c>
      <c r="M39" s="54">
        <f t="shared" ca="1" si="8"/>
        <v>6.8260000000000005</v>
      </c>
      <c r="N39" s="54">
        <f t="shared" ca="1" si="8"/>
        <v>21.89</v>
      </c>
      <c r="O39" s="54">
        <f t="shared" ca="1" si="8"/>
        <v>27.82</v>
      </c>
      <c r="P39" s="54">
        <f t="shared" ca="1" si="8"/>
        <v>41.353999999999999</v>
      </c>
      <c r="Q39" s="54" t="e">
        <f t="shared" ca="1" si="8"/>
        <v>#DIV/0!</v>
      </c>
      <c r="R39" s="54" t="e">
        <f t="shared" ca="1" si="8"/>
        <v>#DIV/0!</v>
      </c>
      <c r="S39" s="54" t="e">
        <f t="shared" ca="1" si="8"/>
        <v>#DIV/0!</v>
      </c>
      <c r="T39" s="54" t="e">
        <f t="shared" ca="1" si="8"/>
        <v>#DIV/0!</v>
      </c>
      <c r="U39" s="54" t="e">
        <f t="shared" ca="1" si="8"/>
        <v>#DIV/0!</v>
      </c>
      <c r="V39" s="54" t="e">
        <f t="shared" ca="1" si="8"/>
        <v>#DIV/0!</v>
      </c>
      <c r="W39" s="54" t="e">
        <f t="shared" ca="1" si="8"/>
        <v>#DIV/0!</v>
      </c>
      <c r="X39" s="54" t="str">
        <f t="shared" ca="1" si="8"/>
        <v>Mean</v>
      </c>
      <c r="Y39" s="54" t="str">
        <f t="shared" ca="1" si="8"/>
        <v>Mean</v>
      </c>
      <c r="Z39" s="54" t="str">
        <f t="shared" ca="1" si="8"/>
        <v>Mean</v>
      </c>
      <c r="AA39" s="54" t="str">
        <f t="shared" ca="1" si="8"/>
        <v>Mean</v>
      </c>
      <c r="AB39" s="54" t="str">
        <f t="shared" ca="1" si="8"/>
        <v>Mean</v>
      </c>
      <c r="AC39" s="54" t="str">
        <f t="shared" ca="1" si="8"/>
        <v>Mean</v>
      </c>
      <c r="AD39" s="54" t="str">
        <f t="shared" ca="1" si="8"/>
        <v>Mean</v>
      </c>
      <c r="AE39" s="54" t="str">
        <f t="shared" ca="1" si="8"/>
        <v>Mean</v>
      </c>
      <c r="AF39" s="54" t="str">
        <f t="shared" ca="1" si="8"/>
        <v>Mean</v>
      </c>
      <c r="AG39" s="54" t="str">
        <f t="shared" ca="1" si="8"/>
        <v>Mean</v>
      </c>
      <c r="AH39" s="54" t="e">
        <f t="shared" ca="1" si="8"/>
        <v>#DIV/0!</v>
      </c>
      <c r="AI39" s="54" t="e">
        <f t="shared" ca="1" si="8"/>
        <v>#DIV/0!</v>
      </c>
      <c r="AJ39" s="54" t="e">
        <f t="shared" ca="1" si="8"/>
        <v>#DIV/0!</v>
      </c>
      <c r="AK39" s="54" t="e">
        <f t="shared" ca="1" si="8"/>
        <v>#DIV/0!</v>
      </c>
      <c r="AL39" s="54" t="e">
        <f t="shared" ca="1" si="8"/>
        <v>#DIV/0!</v>
      </c>
      <c r="AM39" s="54" t="e">
        <f t="shared" ca="1" si="8"/>
        <v>#DIV/0!</v>
      </c>
      <c r="AN39" s="54" t="e">
        <f t="shared" ca="1" si="8"/>
        <v>#DIV/0!</v>
      </c>
      <c r="AO39" s="54" t="e">
        <f t="shared" ca="1" si="8"/>
        <v>#DIV/0!</v>
      </c>
      <c r="AP39" s="54"/>
    </row>
    <row r="40" spans="2:42" x14ac:dyDescent="0.25">
      <c r="B40" s="150"/>
      <c r="C40" s="115" t="s">
        <v>49</v>
      </c>
      <c r="D40" s="91" t="s">
        <v>1460</v>
      </c>
      <c r="E40" s="54">
        <f t="shared" ca="1" si="7"/>
        <v>0.64399999999999991</v>
      </c>
      <c r="F40" s="54">
        <f t="shared" ca="1" si="8"/>
        <v>0.59199999999999997</v>
      </c>
      <c r="G40" s="54">
        <f t="shared" ca="1" si="8"/>
        <v>1.2399999999999998</v>
      </c>
      <c r="H40" s="54">
        <f t="shared" ca="1" si="8"/>
        <v>1.92</v>
      </c>
      <c r="I40" s="54">
        <f t="shared" ca="1" si="8"/>
        <v>1.6060000000000003</v>
      </c>
      <c r="J40" s="54">
        <f t="shared" ca="1" si="8"/>
        <v>2.3600000000000003</v>
      </c>
      <c r="K40" s="54">
        <f t="shared" ca="1" si="8"/>
        <v>4.2</v>
      </c>
      <c r="L40" s="54">
        <f t="shared" ca="1" si="8"/>
        <v>6.1859999999999999</v>
      </c>
      <c r="M40" s="54">
        <f t="shared" ca="1" si="8"/>
        <v>6.6760000000000002</v>
      </c>
      <c r="N40" s="54">
        <f t="shared" ca="1" si="8"/>
        <v>18.324000000000002</v>
      </c>
      <c r="O40" s="54">
        <f t="shared" ca="1" si="8"/>
        <v>22.332000000000001</v>
      </c>
      <c r="P40" s="54">
        <f t="shared" ca="1" si="8"/>
        <v>27.456</v>
      </c>
      <c r="Q40" s="54" t="e">
        <f t="shared" ca="1" si="8"/>
        <v>#DIV/0!</v>
      </c>
      <c r="R40" s="54" t="e">
        <f t="shared" ca="1" si="8"/>
        <v>#DIV/0!</v>
      </c>
      <c r="S40" s="54" t="e">
        <f t="shared" ca="1" si="8"/>
        <v>#DIV/0!</v>
      </c>
      <c r="T40" s="54" t="e">
        <f t="shared" ca="1" si="8"/>
        <v>#DIV/0!</v>
      </c>
      <c r="U40" s="54" t="e">
        <f t="shared" ca="1" si="8"/>
        <v>#DIV/0!</v>
      </c>
      <c r="V40" s="54" t="e">
        <f t="shared" ca="1" si="8"/>
        <v>#DIV/0!</v>
      </c>
      <c r="W40" s="54" t="e">
        <f t="shared" ca="1" si="8"/>
        <v>#DIV/0!</v>
      </c>
      <c r="X40" s="54" t="e">
        <f t="shared" ca="1" si="8"/>
        <v>#DIV/0!</v>
      </c>
      <c r="Y40" s="54" t="e">
        <f t="shared" ca="1" si="8"/>
        <v>#DIV/0!</v>
      </c>
      <c r="Z40" s="54" t="e">
        <f t="shared" ca="1" si="8"/>
        <v>#DIV/0!</v>
      </c>
      <c r="AA40" s="54" t="e">
        <f t="shared" ca="1" si="8"/>
        <v>#DIV/0!</v>
      </c>
      <c r="AB40" s="54" t="e">
        <f t="shared" ca="1" si="8"/>
        <v>#DIV/0!</v>
      </c>
      <c r="AC40" s="54" t="e">
        <f t="shared" ca="1" si="8"/>
        <v>#DIV/0!</v>
      </c>
      <c r="AD40" s="54" t="e">
        <f t="shared" ca="1" si="8"/>
        <v>#DIV/0!</v>
      </c>
      <c r="AE40" s="54" t="e">
        <f t="shared" ca="1" si="8"/>
        <v>#DIV/0!</v>
      </c>
      <c r="AF40" s="54" t="e">
        <f t="shared" ca="1" si="8"/>
        <v>#DIV/0!</v>
      </c>
      <c r="AG40" s="54" t="e">
        <f t="shared" ca="1" si="8"/>
        <v>#DIV/0!</v>
      </c>
      <c r="AH40" s="54" t="e">
        <f t="shared" ca="1" si="8"/>
        <v>#DIV/0!</v>
      </c>
      <c r="AI40" s="54" t="e">
        <f t="shared" ca="1" si="8"/>
        <v>#DIV/0!</v>
      </c>
      <c r="AJ40" s="54" t="e">
        <f t="shared" ca="1" si="8"/>
        <v>#DIV/0!</v>
      </c>
      <c r="AK40" s="54" t="e">
        <f t="shared" ca="1" si="8"/>
        <v>#DIV/0!</v>
      </c>
      <c r="AL40" s="54" t="e">
        <f t="shared" ca="1" si="8"/>
        <v>#DIV/0!</v>
      </c>
      <c r="AM40" s="54" t="e">
        <f t="shared" ca="1" si="8"/>
        <v>#DIV/0!</v>
      </c>
      <c r="AN40" s="54" t="e">
        <f t="shared" ca="1" si="8"/>
        <v>#DIV/0!</v>
      </c>
      <c r="AO40" s="54" t="e">
        <f t="shared" ca="1" si="8"/>
        <v>#DIV/0!</v>
      </c>
      <c r="AP40" s="54"/>
    </row>
    <row r="41" spans="2:42" x14ac:dyDescent="0.25">
      <c r="B41" s="150"/>
      <c r="C41" s="116" t="s">
        <v>50</v>
      </c>
      <c r="D41" s="91" t="s">
        <v>1461</v>
      </c>
      <c r="E41" s="54">
        <f t="shared" ca="1" si="7"/>
        <v>8.7999999999999995E-2</v>
      </c>
      <c r="F41" s="54">
        <f t="shared" ca="1" si="8"/>
        <v>0.76400000000000001</v>
      </c>
      <c r="G41" s="54">
        <f t="shared" ca="1" si="8"/>
        <v>1.4</v>
      </c>
      <c r="H41" s="54">
        <f t="shared" ca="1" si="8"/>
        <v>2.35</v>
      </c>
      <c r="I41" s="54">
        <f t="shared" ca="1" si="8"/>
        <v>6.2980000000000009</v>
      </c>
      <c r="J41" s="54">
        <f t="shared" ca="1" si="8"/>
        <v>8.113999999999999</v>
      </c>
      <c r="K41" s="54">
        <f t="shared" ca="1" si="8"/>
        <v>14.681999999999999</v>
      </c>
      <c r="L41" s="54">
        <f t="shared" ca="1" si="8"/>
        <v>24.523999999999997</v>
      </c>
      <c r="M41" s="54">
        <f t="shared" ca="1" si="8"/>
        <v>29.619999999999997</v>
      </c>
      <c r="N41" s="54">
        <f t="shared" ca="1" si="8"/>
        <v>69.828000000000003</v>
      </c>
      <c r="O41" s="54">
        <f t="shared" ca="1" si="8"/>
        <v>115.08600000000001</v>
      </c>
      <c r="P41" s="54">
        <f t="shared" ca="1" si="8"/>
        <v>141.83599999999998</v>
      </c>
      <c r="Q41" s="54" t="e">
        <f t="shared" ca="1" si="8"/>
        <v>#DIV/0!</v>
      </c>
      <c r="R41" s="54" t="e">
        <f t="shared" ca="1" si="8"/>
        <v>#DIV/0!</v>
      </c>
      <c r="S41" s="54" t="e">
        <f t="shared" ca="1" si="8"/>
        <v>#DIV/0!</v>
      </c>
      <c r="T41" s="54" t="e">
        <f t="shared" ca="1" si="8"/>
        <v>#DIV/0!</v>
      </c>
      <c r="U41" s="54" t="e">
        <f t="shared" ca="1" si="8"/>
        <v>#DIV/0!</v>
      </c>
      <c r="V41" s="54" t="e">
        <f t="shared" ca="1" si="8"/>
        <v>#DIV/0!</v>
      </c>
      <c r="W41" s="54" t="e">
        <f t="shared" ca="1" si="8"/>
        <v>#DIV/0!</v>
      </c>
      <c r="X41" s="54" t="e">
        <f t="shared" ca="1" si="8"/>
        <v>#DIV/0!</v>
      </c>
      <c r="Y41" s="54" t="e">
        <f t="shared" ca="1" si="8"/>
        <v>#DIV/0!</v>
      </c>
      <c r="Z41" s="54" t="e">
        <f t="shared" ca="1" si="8"/>
        <v>#DIV/0!</v>
      </c>
      <c r="AA41" s="54" t="e">
        <f t="shared" ca="1" si="8"/>
        <v>#DIV/0!</v>
      </c>
      <c r="AB41" s="54" t="e">
        <f t="shared" ca="1" si="8"/>
        <v>#DIV/0!</v>
      </c>
      <c r="AC41" s="54" t="e">
        <f t="shared" ca="1" si="8"/>
        <v>#DIV/0!</v>
      </c>
      <c r="AD41" s="54" t="e">
        <f t="shared" ca="1" si="8"/>
        <v>#DIV/0!</v>
      </c>
      <c r="AE41" s="54" t="e">
        <f t="shared" ca="1" si="8"/>
        <v>#DIV/0!</v>
      </c>
      <c r="AF41" s="54" t="e">
        <f t="shared" ca="1" si="8"/>
        <v>#DIV/0!</v>
      </c>
      <c r="AG41" s="54" t="e">
        <f t="shared" ca="1" si="8"/>
        <v>#DIV/0!</v>
      </c>
      <c r="AH41" s="54" t="e">
        <f t="shared" ca="1" si="8"/>
        <v>#DIV/0!</v>
      </c>
      <c r="AI41" s="54" t="e">
        <f t="shared" ca="1" si="8"/>
        <v>#DIV/0!</v>
      </c>
      <c r="AJ41" s="54" t="e">
        <f t="shared" ca="1" si="8"/>
        <v>#DIV/0!</v>
      </c>
      <c r="AK41" s="54" t="e">
        <f t="shared" ca="1" si="8"/>
        <v>#DIV/0!</v>
      </c>
      <c r="AL41" s="54" t="e">
        <f t="shared" ca="1" si="8"/>
        <v>#DIV/0!</v>
      </c>
      <c r="AM41" s="54" t="e">
        <f t="shared" ca="1" si="8"/>
        <v>#DIV/0!</v>
      </c>
      <c r="AN41" s="54" t="e">
        <f t="shared" ca="1" si="8"/>
        <v>#DIV/0!</v>
      </c>
      <c r="AO41" s="54" t="e">
        <f t="shared" ca="1" si="8"/>
        <v>#DIV/0!</v>
      </c>
      <c r="AP41" s="54"/>
    </row>
    <row r="42" spans="2:42" x14ac:dyDescent="0.25">
      <c r="B42" s="150"/>
      <c r="C42" s="116" t="s">
        <v>51</v>
      </c>
      <c r="D42" s="91" t="s">
        <v>1462</v>
      </c>
      <c r="E42" s="54">
        <f t="shared" ca="1" si="7"/>
        <v>0.02</v>
      </c>
      <c r="F42" s="54">
        <f t="shared" ca="1" si="8"/>
        <v>0.16600000000000001</v>
      </c>
      <c r="G42" s="54">
        <f t="shared" ca="1" si="8"/>
        <v>0.27600000000000002</v>
      </c>
      <c r="H42" s="54">
        <f t="shared" ca="1" si="8"/>
        <v>0.44399999999999995</v>
      </c>
      <c r="I42" s="54">
        <f t="shared" ca="1" si="8"/>
        <v>1.0400000000000003</v>
      </c>
      <c r="J42" s="54">
        <f t="shared" ca="1" si="8"/>
        <v>1.3379999999999999</v>
      </c>
      <c r="K42" s="54">
        <f t="shared" ca="1" si="8"/>
        <v>2.25</v>
      </c>
      <c r="L42" s="54">
        <f t="shared" ca="1" si="8"/>
        <v>3.3839999999999995</v>
      </c>
      <c r="M42" s="54">
        <f t="shared" ca="1" si="8"/>
        <v>3.4800000000000004</v>
      </c>
      <c r="N42" s="54">
        <f t="shared" ca="1" si="8"/>
        <v>7.347999999999999</v>
      </c>
      <c r="O42" s="54">
        <f t="shared" ca="1" si="8"/>
        <v>13.884000000000004</v>
      </c>
      <c r="P42" s="54">
        <f t="shared" ca="1" si="8"/>
        <v>14.516</v>
      </c>
      <c r="Q42" s="54" t="e">
        <f t="shared" ca="1" si="8"/>
        <v>#DIV/0!</v>
      </c>
      <c r="R42" s="54" t="e">
        <f t="shared" ca="1" si="8"/>
        <v>#DIV/0!</v>
      </c>
      <c r="S42" s="54" t="e">
        <f t="shared" ca="1" si="8"/>
        <v>#DIV/0!</v>
      </c>
      <c r="T42" s="54" t="e">
        <f t="shared" ca="1" si="8"/>
        <v>#DIV/0!</v>
      </c>
      <c r="U42" s="54" t="e">
        <f t="shared" ca="1" si="8"/>
        <v>#DIV/0!</v>
      </c>
      <c r="V42" s="54" t="e">
        <f t="shared" ca="1" si="8"/>
        <v>#DIV/0!</v>
      </c>
      <c r="W42" s="54" t="e">
        <f t="shared" ca="1" si="8"/>
        <v>#DIV/0!</v>
      </c>
      <c r="X42" s="54" t="e">
        <f t="shared" ca="1" si="8"/>
        <v>#DIV/0!</v>
      </c>
      <c r="Y42" s="54" t="e">
        <f t="shared" ca="1" si="8"/>
        <v>#DIV/0!</v>
      </c>
      <c r="Z42" s="54" t="e">
        <f t="shared" ca="1" si="8"/>
        <v>#DIV/0!</v>
      </c>
      <c r="AA42" s="54" t="e">
        <f t="shared" ca="1" si="8"/>
        <v>#DIV/0!</v>
      </c>
      <c r="AB42" s="54" t="e">
        <f t="shared" ca="1" si="8"/>
        <v>#DIV/0!</v>
      </c>
      <c r="AC42" s="54" t="e">
        <f t="shared" ca="1" si="8"/>
        <v>#DIV/0!</v>
      </c>
      <c r="AD42" s="54" t="e">
        <f t="shared" ca="1" si="8"/>
        <v>#DIV/0!</v>
      </c>
      <c r="AE42" s="54" t="e">
        <f t="shared" ca="1" si="8"/>
        <v>#DIV/0!</v>
      </c>
      <c r="AF42" s="54" t="e">
        <f t="shared" ca="1" si="8"/>
        <v>#DIV/0!</v>
      </c>
      <c r="AG42" s="54" t="e">
        <f t="shared" ca="1" si="8"/>
        <v>#DIV/0!</v>
      </c>
      <c r="AH42" s="54" t="e">
        <f t="shared" ca="1" si="8"/>
        <v>#DIV/0!</v>
      </c>
      <c r="AI42" s="54" t="e">
        <f t="shared" ca="1" si="8"/>
        <v>#DIV/0!</v>
      </c>
      <c r="AJ42" s="54" t="e">
        <f t="shared" ca="1" si="8"/>
        <v>#DIV/0!</v>
      </c>
      <c r="AK42" s="54" t="e">
        <f t="shared" ca="1" si="8"/>
        <v>#DIV/0!</v>
      </c>
      <c r="AL42" s="54" t="e">
        <f t="shared" ca="1" si="8"/>
        <v>#DIV/0!</v>
      </c>
      <c r="AM42" s="54" t="e">
        <f t="shared" ca="1" si="8"/>
        <v>#DIV/0!</v>
      </c>
      <c r="AN42" s="54" t="e">
        <f t="shared" ca="1" si="8"/>
        <v>#DIV/0!</v>
      </c>
      <c r="AO42" s="54" t="e">
        <f t="shared" ca="1" si="8"/>
        <v>#DIV/0!</v>
      </c>
      <c r="AP42" s="54"/>
    </row>
    <row r="43" spans="2:42" x14ac:dyDescent="0.25">
      <c r="D43" s="91"/>
      <c r="AP43" s="54"/>
    </row>
    <row r="44" spans="2:42" x14ac:dyDescent="0.25">
      <c r="D44" s="91"/>
      <c r="AP44" s="54"/>
    </row>
    <row r="46" spans="2:42" x14ac:dyDescent="0.25">
      <c r="C46" s="39" t="s">
        <v>1363</v>
      </c>
    </row>
    <row r="47" spans="2:42" x14ac:dyDescent="0.25">
      <c r="B47" s="151" t="s">
        <v>52</v>
      </c>
      <c r="C47" s="117" t="s">
        <v>53</v>
      </c>
      <c r="D47" s="84" t="s">
        <v>1463</v>
      </c>
      <c r="E47" s="54">
        <f ca="1">INDIRECT(CONCATENATE("'",E$2,"'!",$D47))</f>
        <v>0.59199999999999997</v>
      </c>
      <c r="F47" s="54">
        <f t="shared" ref="E47:T49" ca="1" si="9">INDIRECT(CONCATENATE("'",F$2,"'!",$D47))</f>
        <v>1.542</v>
      </c>
      <c r="G47" s="54">
        <f t="shared" ca="1" si="9"/>
        <v>2.1840000000000002</v>
      </c>
      <c r="H47" s="54">
        <f t="shared" ca="1" si="9"/>
        <v>3.47</v>
      </c>
      <c r="I47" s="54">
        <f t="shared" ca="1" si="9"/>
        <v>12.108000000000001</v>
      </c>
      <c r="J47" s="54">
        <f t="shared" ca="1" si="9"/>
        <v>19.369999999999997</v>
      </c>
      <c r="K47" s="54">
        <f t="shared" ca="1" si="9"/>
        <v>51.23599999999999</v>
      </c>
      <c r="L47" s="54">
        <f t="shared" ca="1" si="9"/>
        <v>94.585999999999999</v>
      </c>
      <c r="M47" s="54">
        <f t="shared" ca="1" si="9"/>
        <v>103.97200000000001</v>
      </c>
      <c r="N47" s="54">
        <f t="shared" ca="1" si="9"/>
        <v>588.59399999999994</v>
      </c>
      <c r="O47" s="54">
        <f t="shared" ca="1" si="9"/>
        <v>1278.4599999999998</v>
      </c>
      <c r="P47" s="54">
        <f t="shared" ca="1" si="9"/>
        <v>1996.2780000000002</v>
      </c>
      <c r="Q47" s="54" t="e">
        <f t="shared" ca="1" si="9"/>
        <v>#DIV/0!</v>
      </c>
      <c r="R47" s="54" t="e">
        <f t="shared" ca="1" si="9"/>
        <v>#DIV/0!</v>
      </c>
      <c r="S47" s="54" t="e">
        <f t="shared" ca="1" si="9"/>
        <v>#DIV/0!</v>
      </c>
      <c r="T47" s="54" t="e">
        <f t="shared" ca="1" si="9"/>
        <v>#DIV/0!</v>
      </c>
      <c r="U47" s="54" t="e">
        <f t="shared" ref="F47:AO49" ca="1" si="10">INDIRECT(CONCATENATE("'",U$2,"'!",$D47))</f>
        <v>#DIV/0!</v>
      </c>
      <c r="V47" s="54" t="e">
        <f t="shared" ca="1" si="10"/>
        <v>#DIV/0!</v>
      </c>
      <c r="W47" s="54" t="e">
        <f t="shared" ca="1" si="10"/>
        <v>#DIV/0!</v>
      </c>
      <c r="X47" s="54">
        <f t="shared" ca="1" si="10"/>
        <v>0</v>
      </c>
      <c r="Y47" s="54">
        <f t="shared" ca="1" si="10"/>
        <v>0</v>
      </c>
      <c r="Z47" s="54">
        <f t="shared" ca="1" si="10"/>
        <v>0</v>
      </c>
      <c r="AA47" s="54">
        <f t="shared" ca="1" si="10"/>
        <v>0</v>
      </c>
      <c r="AB47" s="54">
        <f t="shared" ca="1" si="10"/>
        <v>0</v>
      </c>
      <c r="AC47" s="54">
        <f t="shared" ca="1" si="10"/>
        <v>0</v>
      </c>
      <c r="AD47" s="54">
        <f t="shared" ca="1" si="10"/>
        <v>0</v>
      </c>
      <c r="AE47" s="54">
        <f t="shared" ca="1" si="10"/>
        <v>0</v>
      </c>
      <c r="AF47" s="54">
        <f t="shared" ca="1" si="10"/>
        <v>0</v>
      </c>
      <c r="AG47" s="54">
        <f t="shared" ca="1" si="10"/>
        <v>0</v>
      </c>
      <c r="AH47" s="54" t="e">
        <f t="shared" ca="1" si="10"/>
        <v>#DIV/0!</v>
      </c>
      <c r="AI47" s="54" t="e">
        <f t="shared" ca="1" si="10"/>
        <v>#DIV/0!</v>
      </c>
      <c r="AJ47" s="54" t="e">
        <f t="shared" ca="1" si="10"/>
        <v>#DIV/0!</v>
      </c>
      <c r="AK47" s="54" t="e">
        <f t="shared" ca="1" si="10"/>
        <v>#DIV/0!</v>
      </c>
      <c r="AL47" s="54" t="e">
        <f t="shared" ca="1" si="10"/>
        <v>#DIV/0!</v>
      </c>
      <c r="AM47" s="54" t="e">
        <f t="shared" ca="1" si="10"/>
        <v>#DIV/0!</v>
      </c>
      <c r="AN47" s="54" t="e">
        <f t="shared" ca="1" si="10"/>
        <v>#DIV/0!</v>
      </c>
      <c r="AO47" s="54" t="e">
        <f t="shared" ca="1" si="10"/>
        <v>#DIV/0!</v>
      </c>
    </row>
    <row r="48" spans="2:42" x14ac:dyDescent="0.25">
      <c r="B48" s="151"/>
      <c r="C48" s="118" t="s">
        <v>54</v>
      </c>
      <c r="D48" s="84" t="s">
        <v>1464</v>
      </c>
      <c r="E48" s="54">
        <f t="shared" ca="1" si="9"/>
        <v>0.02</v>
      </c>
      <c r="F48" s="54">
        <f t="shared" ca="1" si="10"/>
        <v>0.16</v>
      </c>
      <c r="G48" s="54">
        <f t="shared" ca="1" si="10"/>
        <v>0.26200000000000001</v>
      </c>
      <c r="H48" s="54">
        <f t="shared" ca="1" si="10"/>
        <v>0.39600000000000002</v>
      </c>
      <c r="I48" s="54">
        <f t="shared" ca="1" si="10"/>
        <v>0.90999999999999992</v>
      </c>
      <c r="J48" s="54">
        <f t="shared" ca="1" si="10"/>
        <v>1.1179999999999999</v>
      </c>
      <c r="K48" s="54">
        <f t="shared" ca="1" si="10"/>
        <v>1.94</v>
      </c>
      <c r="L48" s="54">
        <f t="shared" ca="1" si="10"/>
        <v>2.8260000000000001</v>
      </c>
      <c r="M48" s="54">
        <f t="shared" ca="1" si="10"/>
        <v>2.8759999999999999</v>
      </c>
      <c r="N48" s="54">
        <f t="shared" ca="1" si="10"/>
        <v>5.8039999999999994</v>
      </c>
      <c r="O48" s="54">
        <f t="shared" ca="1" si="10"/>
        <v>8.468</v>
      </c>
      <c r="P48" s="54">
        <f t="shared" ca="1" si="10"/>
        <v>11.744000000000002</v>
      </c>
      <c r="Q48" s="54" t="e">
        <f t="shared" ca="1" si="10"/>
        <v>#DIV/0!</v>
      </c>
      <c r="R48" s="54" t="e">
        <f t="shared" ca="1" si="10"/>
        <v>#DIV/0!</v>
      </c>
      <c r="S48" s="54" t="e">
        <f t="shared" ca="1" si="10"/>
        <v>#DIV/0!</v>
      </c>
      <c r="T48" s="54" t="e">
        <f t="shared" ca="1" si="10"/>
        <v>#DIV/0!</v>
      </c>
      <c r="U48" s="54" t="e">
        <f t="shared" ca="1" si="10"/>
        <v>#DIV/0!</v>
      </c>
      <c r="V48" s="54" t="e">
        <f t="shared" ca="1" si="10"/>
        <v>#DIV/0!</v>
      </c>
      <c r="W48" s="54" t="e">
        <f t="shared" ca="1" si="10"/>
        <v>#DIV/0!</v>
      </c>
      <c r="X48" s="54" t="str">
        <f t="shared" ca="1" si="10"/>
        <v>Mean</v>
      </c>
      <c r="Y48" s="54" t="str">
        <f t="shared" ca="1" si="10"/>
        <v>Mean</v>
      </c>
      <c r="Z48" s="54" t="str">
        <f t="shared" ca="1" si="10"/>
        <v>Mean</v>
      </c>
      <c r="AA48" s="54" t="str">
        <f t="shared" ca="1" si="10"/>
        <v>Mean</v>
      </c>
      <c r="AB48" s="54" t="str">
        <f t="shared" ca="1" si="10"/>
        <v>Mean</v>
      </c>
      <c r="AC48" s="54" t="str">
        <f t="shared" ca="1" si="10"/>
        <v>Mean</v>
      </c>
      <c r="AD48" s="54" t="str">
        <f t="shared" ca="1" si="10"/>
        <v>Mean</v>
      </c>
      <c r="AE48" s="54" t="str">
        <f t="shared" ca="1" si="10"/>
        <v>Mean</v>
      </c>
      <c r="AF48" s="54" t="str">
        <f t="shared" ca="1" si="10"/>
        <v>Mean</v>
      </c>
      <c r="AG48" s="54" t="str">
        <f t="shared" ca="1" si="10"/>
        <v>Mean</v>
      </c>
      <c r="AH48" s="54" t="e">
        <f t="shared" ca="1" si="10"/>
        <v>#DIV/0!</v>
      </c>
      <c r="AI48" s="54" t="e">
        <f t="shared" ca="1" si="10"/>
        <v>#DIV/0!</v>
      </c>
      <c r="AJ48" s="54" t="e">
        <f t="shared" ca="1" si="10"/>
        <v>#DIV/0!</v>
      </c>
      <c r="AK48" s="54" t="e">
        <f t="shared" ca="1" si="10"/>
        <v>#DIV/0!</v>
      </c>
      <c r="AL48" s="54" t="e">
        <f t="shared" ca="1" si="10"/>
        <v>#DIV/0!</v>
      </c>
      <c r="AM48" s="54" t="e">
        <f t="shared" ca="1" si="10"/>
        <v>#DIV/0!</v>
      </c>
      <c r="AN48" s="54" t="e">
        <f t="shared" ca="1" si="10"/>
        <v>#DIV/0!</v>
      </c>
      <c r="AO48" s="54" t="e">
        <f t="shared" ca="1" si="10"/>
        <v>#DIV/0!</v>
      </c>
    </row>
    <row r="49" spans="2:41" x14ac:dyDescent="0.25">
      <c r="B49" s="151"/>
      <c r="C49" s="118" t="s">
        <v>55</v>
      </c>
      <c r="D49" s="84" t="s">
        <v>1465</v>
      </c>
      <c r="E49" s="54">
        <f t="shared" ca="1" si="9"/>
        <v>0.126</v>
      </c>
      <c r="F49" s="54">
        <f t="shared" ca="1" si="10"/>
        <v>0.82599999999999996</v>
      </c>
      <c r="G49" s="54">
        <f t="shared" ca="1" si="10"/>
        <v>1.1960000000000002</v>
      </c>
      <c r="H49" s="54">
        <f t="shared" ca="1" si="10"/>
        <v>1.3699999999999999</v>
      </c>
      <c r="I49" s="54">
        <f t="shared" ca="1" si="10"/>
        <v>5.2319999999999993</v>
      </c>
      <c r="J49" s="54">
        <f t="shared" ca="1" si="10"/>
        <v>5.4379999999999997</v>
      </c>
      <c r="K49" s="54">
        <f t="shared" ca="1" si="10"/>
        <v>8.6720000000000006</v>
      </c>
      <c r="L49" s="54">
        <f t="shared" ca="1" si="10"/>
        <v>18.463999999999999</v>
      </c>
      <c r="M49" s="54">
        <f t="shared" ca="1" si="10"/>
        <v>16.678000000000001</v>
      </c>
      <c r="N49" s="54">
        <f t="shared" ca="1" si="10"/>
        <v>29.718</v>
      </c>
      <c r="O49" s="54">
        <f t="shared" ca="1" si="10"/>
        <v>47.995999999999995</v>
      </c>
      <c r="P49" s="54">
        <f t="shared" ca="1" si="10"/>
        <v>117.744</v>
      </c>
      <c r="Q49" s="54" t="e">
        <f t="shared" ca="1" si="10"/>
        <v>#DIV/0!</v>
      </c>
      <c r="R49" s="54" t="e">
        <f t="shared" ca="1" si="10"/>
        <v>#DIV/0!</v>
      </c>
      <c r="S49" s="54" t="e">
        <f t="shared" ca="1" si="10"/>
        <v>#DIV/0!</v>
      </c>
      <c r="T49" s="54" t="e">
        <f t="shared" ca="1" si="10"/>
        <v>#DIV/0!</v>
      </c>
      <c r="U49" s="54" t="e">
        <f t="shared" ca="1" si="10"/>
        <v>#DIV/0!</v>
      </c>
      <c r="V49" s="54" t="e">
        <f t="shared" ca="1" si="10"/>
        <v>#DIV/0!</v>
      </c>
      <c r="W49" s="54" t="e">
        <f t="shared" ca="1" si="10"/>
        <v>#DIV/0!</v>
      </c>
      <c r="X49" s="54" t="e">
        <f t="shared" ca="1" si="10"/>
        <v>#DIV/0!</v>
      </c>
      <c r="Y49" s="54" t="e">
        <f t="shared" ca="1" si="10"/>
        <v>#DIV/0!</v>
      </c>
      <c r="Z49" s="54" t="e">
        <f t="shared" ca="1" si="10"/>
        <v>#DIV/0!</v>
      </c>
      <c r="AA49" s="54" t="e">
        <f t="shared" ca="1" si="10"/>
        <v>#DIV/0!</v>
      </c>
      <c r="AB49" s="54" t="e">
        <f t="shared" ca="1" si="10"/>
        <v>#DIV/0!</v>
      </c>
      <c r="AC49" s="54" t="e">
        <f t="shared" ca="1" si="10"/>
        <v>#DIV/0!</v>
      </c>
      <c r="AD49" s="54" t="e">
        <f t="shared" ca="1" si="10"/>
        <v>#DIV/0!</v>
      </c>
      <c r="AE49" s="54" t="e">
        <f t="shared" ca="1" si="10"/>
        <v>#DIV/0!</v>
      </c>
      <c r="AF49" s="54" t="e">
        <f t="shared" ca="1" si="10"/>
        <v>#DIV/0!</v>
      </c>
      <c r="AG49" s="54" t="e">
        <f t="shared" ca="1" si="10"/>
        <v>#DIV/0!</v>
      </c>
      <c r="AH49" s="54" t="e">
        <f t="shared" ca="1" si="10"/>
        <v>#DIV/0!</v>
      </c>
      <c r="AI49" s="54" t="e">
        <f t="shared" ca="1" si="10"/>
        <v>#DIV/0!</v>
      </c>
      <c r="AJ49" s="54" t="e">
        <f t="shared" ca="1" si="10"/>
        <v>#DIV/0!</v>
      </c>
      <c r="AK49" s="54" t="e">
        <f t="shared" ca="1" si="10"/>
        <v>#DIV/0!</v>
      </c>
      <c r="AL49" s="54" t="e">
        <f t="shared" ca="1" si="10"/>
        <v>#DIV/0!</v>
      </c>
      <c r="AM49" s="54" t="e">
        <f t="shared" ca="1" si="10"/>
        <v>#DIV/0!</v>
      </c>
      <c r="AN49" s="54" t="e">
        <f t="shared" ca="1" si="10"/>
        <v>#DIV/0!</v>
      </c>
      <c r="AO49" s="54" t="e">
        <f t="shared" ca="1" si="10"/>
        <v>#DIV/0!</v>
      </c>
    </row>
    <row r="50" spans="2:41" x14ac:dyDescent="0.25">
      <c r="B50" s="151"/>
      <c r="C50" s="19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</row>
    <row r="51" spans="2:41" x14ac:dyDescent="0.25">
      <c r="B51" s="151"/>
      <c r="C51" s="19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</row>
    <row r="52" spans="2:41" x14ac:dyDescent="0.25">
      <c r="B52" s="151"/>
      <c r="C52" s="19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</row>
    <row r="54" spans="2:41" x14ac:dyDescent="0.25">
      <c r="C54" t="s">
        <v>1471</v>
      </c>
      <c r="D54" s="84" t="s">
        <v>1483</v>
      </c>
      <c r="M54" s="54">
        <f ca="1">INDIRECT(CONCATENATE("'",M$2,"'!",$D54))</f>
        <v>461.39750000000004</v>
      </c>
      <c r="N54" s="54">
        <f ca="1">INDIRECT(CONCATENATE("'",N$2,"'!",$D54))</f>
        <v>2306.8191999999999</v>
      </c>
      <c r="O54" s="54">
        <f ca="1">INDIRECT(CONCATENATE("'",O$2,"'!",$D54))</f>
        <v>4445.6500000000005</v>
      </c>
      <c r="P54" s="54">
        <f ca="1">INDIRECT(CONCATENATE("'",P$2,"'!",$D54))</f>
        <v>3174.77</v>
      </c>
    </row>
    <row r="55" spans="2:41" x14ac:dyDescent="0.25">
      <c r="C55" s="54"/>
    </row>
    <row r="56" spans="2:41" x14ac:dyDescent="0.25">
      <c r="C56" s="133" t="s">
        <v>40</v>
      </c>
      <c r="D56" s="84" t="s">
        <v>1484</v>
      </c>
      <c r="E56" s="132">
        <f t="shared" ref="E56:P59" ca="1" si="11">INDIRECT(CONCATENATE("'",E$2,"'!",$D56))</f>
        <v>5.2936000255725257E-2</v>
      </c>
      <c r="F56" s="132">
        <f t="shared" ca="1" si="11"/>
        <v>0.17241342505794038</v>
      </c>
      <c r="G56" s="132">
        <f t="shared" ca="1" si="11"/>
        <v>0.14958626717477311</v>
      </c>
      <c r="H56" s="132">
        <f t="shared" ca="1" si="11"/>
        <v>0.14550822357360263</v>
      </c>
      <c r="I56" s="132">
        <f t="shared" ca="1" si="11"/>
        <v>0.1077833168741936</v>
      </c>
      <c r="J56" s="132">
        <f t="shared" ca="1" si="11"/>
        <v>5.7303250982781953E-2</v>
      </c>
      <c r="K56" s="132">
        <f t="shared" ca="1" si="11"/>
        <v>6.2953071969085908E-2</v>
      </c>
      <c r="L56" s="132">
        <f t="shared" ca="1" si="11"/>
        <v>6.3790663683997703E-2</v>
      </c>
      <c r="M56" s="132">
        <f t="shared" ca="1" si="11"/>
        <v>2.651722143996546E-2</v>
      </c>
      <c r="N56" s="132">
        <f t="shared" ca="1" si="11"/>
        <v>1.3293840540837421E-2</v>
      </c>
      <c r="O56" s="132">
        <f t="shared" ca="1" si="11"/>
        <v>1.3903831601491588E-2</v>
      </c>
      <c r="P56" s="132">
        <f t="shared" ca="1" si="11"/>
        <v>4.9473102536779938E-2</v>
      </c>
      <c r="Q56" s="132"/>
      <c r="R56" s="132"/>
    </row>
    <row r="57" spans="2:41" x14ac:dyDescent="0.25">
      <c r="C57" s="107" t="s">
        <v>45</v>
      </c>
      <c r="D57" s="84" t="s">
        <v>1485</v>
      </c>
      <c r="E57" s="132">
        <f t="shared" ca="1" si="11"/>
        <v>0.42153537138116715</v>
      </c>
      <c r="F57" s="132">
        <f t="shared" ca="1" si="11"/>
        <v>0.72663547196159095</v>
      </c>
      <c r="G57" s="132">
        <f t="shared" ca="1" si="11"/>
        <v>0.75901961255559969</v>
      </c>
      <c r="H57" s="132">
        <f t="shared" ca="1" si="11"/>
        <v>0.76345346406704917</v>
      </c>
      <c r="I57" s="132">
        <f t="shared" ca="1" si="11"/>
        <v>0.78370757007432268</v>
      </c>
      <c r="J57" s="132">
        <f t="shared" ca="1" si="11"/>
        <v>0.86455993438865364</v>
      </c>
      <c r="K57" s="132">
        <f t="shared" ca="1" si="11"/>
        <v>0.84278575911979559</v>
      </c>
      <c r="L57" s="132">
        <f t="shared" ca="1" si="11"/>
        <v>0.85028946892054491</v>
      </c>
      <c r="M57" s="132">
        <f t="shared" ca="1" si="11"/>
        <v>0.93738249834120135</v>
      </c>
      <c r="N57" s="132">
        <f t="shared" ca="1" si="11"/>
        <v>0.92948642471374399</v>
      </c>
      <c r="O57" s="132">
        <f t="shared" ca="1" si="11"/>
        <v>0.92777185234454973</v>
      </c>
      <c r="P57" s="132">
        <f t="shared" ca="1" si="11"/>
        <v>0.87318679157400536</v>
      </c>
      <c r="Q57" s="132"/>
      <c r="R57" s="132"/>
    </row>
    <row r="58" spans="2:41" x14ac:dyDescent="0.25">
      <c r="C58" s="108" t="s">
        <v>46</v>
      </c>
      <c r="D58" s="84" t="s">
        <v>1486</v>
      </c>
      <c r="E58" s="132">
        <f t="shared" ca="1" si="11"/>
        <v>0.31062384015911254</v>
      </c>
      <c r="F58" s="132">
        <f t="shared" ca="1" si="11"/>
        <v>4.4327102671177267E-2</v>
      </c>
      <c r="G58" s="132">
        <f t="shared" ca="1" si="11"/>
        <v>4.6956941708939125E-2</v>
      </c>
      <c r="H58" s="132">
        <f t="shared" ca="1" si="11"/>
        <v>5.0954730614881059E-2</v>
      </c>
      <c r="I58" s="132">
        <f t="shared" ca="1" si="11"/>
        <v>4.1913525375244752E-2</v>
      </c>
      <c r="J58" s="132">
        <f t="shared" ca="1" si="11"/>
        <v>2.887158716248641E-2</v>
      </c>
      <c r="K58" s="132">
        <f t="shared" ca="1" si="11"/>
        <v>2.8927809630100915E-2</v>
      </c>
      <c r="L58" s="132">
        <f t="shared" ca="1" si="11"/>
        <v>2.3723884898388191E-2</v>
      </c>
      <c r="M58" s="132">
        <f t="shared" ca="1" si="11"/>
        <v>1.0359379172653765E-2</v>
      </c>
      <c r="N58" s="132">
        <f t="shared" ca="1" si="11"/>
        <v>9.8607219210515851E-3</v>
      </c>
      <c r="O58" s="132">
        <f t="shared" ca="1" si="11"/>
        <v>7.1139721542348971E-3</v>
      </c>
      <c r="P58" s="132">
        <f t="shared" ca="1" si="11"/>
        <v>7.6788730919655299E-3</v>
      </c>
      <c r="Q58" s="132"/>
      <c r="R58" s="132"/>
    </row>
    <row r="59" spans="2:41" x14ac:dyDescent="0.25">
      <c r="C59" s="109" t="s">
        <v>1448</v>
      </c>
      <c r="D59" s="84" t="s">
        <v>1487</v>
      </c>
      <c r="E59" s="132">
        <f t="shared" ca="1" si="11"/>
        <v>0.21487986875137527</v>
      </c>
      <c r="F59" s="132">
        <f t="shared" ca="1" si="11"/>
        <v>5.6623991202416582E-2</v>
      </c>
      <c r="G59" s="132">
        <f t="shared" ca="1" si="11"/>
        <v>4.443717435114538E-2</v>
      </c>
      <c r="H59" s="132">
        <f t="shared" ca="1" si="11"/>
        <v>4.0083580307858413E-2</v>
      </c>
      <c r="I59" s="132">
        <f t="shared" ca="1" si="11"/>
        <v>6.6595587459869487E-2</v>
      </c>
      <c r="J59" s="132">
        <f t="shared" ca="1" si="11"/>
        <v>4.9265227399375021E-2</v>
      </c>
      <c r="K59" s="132">
        <f t="shared" ca="1" si="11"/>
        <v>6.5333359245138306E-2</v>
      </c>
      <c r="L59" s="132">
        <f t="shared" ca="1" si="11"/>
        <v>6.2195982486362156E-2</v>
      </c>
      <c r="M59" s="132">
        <f t="shared" ca="1" si="11"/>
        <v>2.5740901038184653E-2</v>
      </c>
      <c r="N59" s="132">
        <f t="shared" ca="1" si="11"/>
        <v>4.7359012823531693E-2</v>
      </c>
      <c r="O59" s="132">
        <f t="shared" ca="1" si="11"/>
        <v>5.1210343899537866E-2</v>
      </c>
      <c r="P59" s="132">
        <f t="shared" ca="1" si="11"/>
        <v>6.9661232797083722E-2</v>
      </c>
      <c r="Q59" s="132"/>
      <c r="R59" s="132"/>
    </row>
    <row r="60" spans="2:41" x14ac:dyDescent="0.25">
      <c r="C60" s="54"/>
    </row>
    <row r="61" spans="2:41" x14ac:dyDescent="0.25">
      <c r="C61" s="54"/>
    </row>
    <row r="62" spans="2:41" x14ac:dyDescent="0.25">
      <c r="C62" s="37"/>
      <c r="E62" s="145" t="s">
        <v>1441</v>
      </c>
      <c r="F62" s="145"/>
    </row>
    <row r="64" spans="2:41" ht="72" customHeight="1" x14ac:dyDescent="0.25"/>
    <row r="80" spans="2:42" s="54" customFormat="1" x14ac:dyDescent="0.25">
      <c r="B80" s="2"/>
      <c r="C80" s="2"/>
      <c r="D80" s="84"/>
      <c r="E80" s="145" t="s">
        <v>1441</v>
      </c>
      <c r="F80" s="145"/>
      <c r="AP80" s="2"/>
    </row>
    <row r="98" spans="2:42" s="54" customFormat="1" x14ac:dyDescent="0.25">
      <c r="B98" s="2"/>
      <c r="C98" s="2"/>
      <c r="D98" s="84"/>
      <c r="E98" s="145" t="s">
        <v>1441</v>
      </c>
      <c r="F98" s="145"/>
      <c r="AP98" s="2"/>
    </row>
    <row r="116" spans="2:42" s="54" customFormat="1" x14ac:dyDescent="0.25">
      <c r="B116" s="2"/>
      <c r="C116" s="2"/>
      <c r="D116" s="84"/>
      <c r="E116" s="145" t="s">
        <v>1441</v>
      </c>
      <c r="F116" s="145"/>
      <c r="AP116" s="2"/>
    </row>
    <row r="134" spans="2:42" s="54" customFormat="1" x14ac:dyDescent="0.25">
      <c r="B134" s="2"/>
      <c r="C134" s="2"/>
      <c r="D134" s="84"/>
      <c r="E134" s="145" t="s">
        <v>1441</v>
      </c>
      <c r="F134" s="145"/>
      <c r="AP134" s="2"/>
    </row>
    <row r="152" spans="2:42" s="54" customFormat="1" x14ac:dyDescent="0.25">
      <c r="B152" s="2"/>
      <c r="C152" s="2"/>
      <c r="D152" s="84"/>
      <c r="E152" s="145" t="s">
        <v>1441</v>
      </c>
      <c r="F152" s="145"/>
      <c r="AP152" s="2"/>
    </row>
    <row r="170" spans="2:42" s="54" customFormat="1" x14ac:dyDescent="0.25">
      <c r="B170" s="2"/>
      <c r="C170" s="2"/>
      <c r="D170" s="84"/>
      <c r="E170" s="145" t="s">
        <v>1441</v>
      </c>
      <c r="F170" s="145"/>
      <c r="AP170" s="2"/>
    </row>
    <row r="177" spans="2:42" s="54" customFormat="1" x14ac:dyDescent="0.25">
      <c r="B177" s="2"/>
      <c r="C177" s="2"/>
      <c r="D177" s="84"/>
      <c r="M177" s="54">
        <v>27720</v>
      </c>
      <c r="AP177" s="2"/>
    </row>
    <row r="188" spans="2:42" s="54" customFormat="1" x14ac:dyDescent="0.25">
      <c r="B188" s="2"/>
      <c r="C188" s="2"/>
      <c r="D188" s="84"/>
      <c r="E188" s="145" t="s">
        <v>1441</v>
      </c>
      <c r="F188" s="145"/>
      <c r="AP188" s="2"/>
    </row>
    <row r="206" spans="2:42" s="54" customFormat="1" x14ac:dyDescent="0.25">
      <c r="B206" s="2"/>
      <c r="C206" s="2"/>
      <c r="D206" s="84"/>
      <c r="E206" s="145" t="s">
        <v>1441</v>
      </c>
      <c r="F206" s="145"/>
      <c r="AP206" s="2"/>
    </row>
    <row r="224" spans="2:42" s="54" customFormat="1" x14ac:dyDescent="0.25">
      <c r="B224" s="2"/>
      <c r="C224" s="2"/>
      <c r="D224" s="84"/>
      <c r="E224" s="145" t="s">
        <v>1441</v>
      </c>
      <c r="F224" s="145"/>
      <c r="AP224" s="2"/>
    </row>
    <row r="242" spans="2:42" s="54" customFormat="1" x14ac:dyDescent="0.25">
      <c r="B242" s="2"/>
      <c r="C242" s="2"/>
      <c r="D242" s="84"/>
      <c r="E242" s="145" t="s">
        <v>1441</v>
      </c>
      <c r="F242" s="145"/>
      <c r="AP242" s="2"/>
    </row>
    <row r="260" spans="5:6" x14ac:dyDescent="0.25">
      <c r="E260" s="145" t="s">
        <v>1441</v>
      </c>
      <c r="F260" s="145"/>
    </row>
    <row r="278" spans="5:6" x14ac:dyDescent="0.25">
      <c r="E278" s="145" t="s">
        <v>1441</v>
      </c>
      <c r="F278" s="145"/>
    </row>
    <row r="296" spans="5:6" x14ac:dyDescent="0.25">
      <c r="E296" s="145" t="s">
        <v>1441</v>
      </c>
      <c r="F296" s="145"/>
    </row>
    <row r="314" spans="5:6" x14ac:dyDescent="0.25">
      <c r="E314" s="145" t="s">
        <v>1441</v>
      </c>
      <c r="F314" s="145"/>
    </row>
  </sheetData>
  <mergeCells count="19">
    <mergeCell ref="E206:F206"/>
    <mergeCell ref="E224:F224"/>
    <mergeCell ref="E242:F242"/>
    <mergeCell ref="E314:F314"/>
    <mergeCell ref="B3:B17"/>
    <mergeCell ref="E134:F134"/>
    <mergeCell ref="E152:F152"/>
    <mergeCell ref="E170:F170"/>
    <mergeCell ref="E188:F188"/>
    <mergeCell ref="E62:F62"/>
    <mergeCell ref="E80:F80"/>
    <mergeCell ref="B38:B42"/>
    <mergeCell ref="B47:B52"/>
    <mergeCell ref="B25:B33"/>
    <mergeCell ref="E98:F98"/>
    <mergeCell ref="E116:F116"/>
    <mergeCell ref="E260:F260"/>
    <mergeCell ref="E278:F278"/>
    <mergeCell ref="E296:F296"/>
  </mergeCells>
  <hyperlinks>
    <hyperlink ref="E2" location="'c30'!A1" display="c30"/>
    <hyperlink ref="F2" location="'c60'!A1" display="c60"/>
    <hyperlink ref="G2" location="'c65'!A1" display="c65"/>
    <hyperlink ref="H2" location="'c70'!A1" display="c70"/>
    <hyperlink ref="I2" location="'c75'!A1" display="c75"/>
    <hyperlink ref="J2" location="'c80'!A1" display="c80"/>
    <hyperlink ref="K2" location="'c85'!A1" display="c85"/>
    <hyperlink ref="L2" location="'c90'!A1" display="c90"/>
    <hyperlink ref="M2" location="'c95'!A1" display="c95"/>
    <hyperlink ref="N2" location="'c100'!A1" display="c100"/>
    <hyperlink ref="O2" location="'c105'!A1" display="c105"/>
    <hyperlink ref="P2" location="'c110'!A1" display="c110"/>
    <hyperlink ref="Q2" location="'c115'!A1" display="c115"/>
    <hyperlink ref="R2" location="'c120'!A1" display="c120"/>
    <hyperlink ref="S2" location="'c125'!A1" display="c125"/>
    <hyperlink ref="T2" location="'c130'!A1" display="c130"/>
    <hyperlink ref="U2" location="'c135'!A1" display="c135"/>
    <hyperlink ref="V2" location="'c140'!A1" display="c140"/>
    <hyperlink ref="W2" location="'c145'!A1" display="c145"/>
    <hyperlink ref="X2" location="'c150'!A1" display="c150"/>
    <hyperlink ref="Y2" location="'c155'!A1" display="c155"/>
    <hyperlink ref="Z2" location="'c160'!A1" display="c160"/>
    <hyperlink ref="AB2" location="'c170'!A1" display="c170"/>
    <hyperlink ref="AA2" location="'c165'!A1" display="c165"/>
    <hyperlink ref="AC2" location="'c175'!A1" display="c175"/>
    <hyperlink ref="AD2" location="'c180'!A1" display="c180"/>
    <hyperlink ref="AE2" location="'c185'!A1" display="c185"/>
    <hyperlink ref="AF2" location="'c190'!A1" display="c190"/>
    <hyperlink ref="AG2" location="'c195'!A1" display="c195"/>
    <hyperlink ref="AH2" location="'c200'!A1" display="c200"/>
    <hyperlink ref="AI2" location="'c205'!A1" display="c205"/>
    <hyperlink ref="AJ2" location="'c210'!A1" display="c210"/>
    <hyperlink ref="AK2" location="'c220'!A1" display="c220"/>
    <hyperlink ref="AL2" location="'c230'!A1" display="c230"/>
    <hyperlink ref="AN2" location="'c310'!A1" display="c310"/>
    <hyperlink ref="AO2" location="'c320'!A1" display="c320"/>
    <hyperlink ref="AM2" location="'c270'!A1" display="c270"/>
    <hyperlink ref="E62:F62" location="'Index of Results'!A1" display="Back to top"/>
    <hyperlink ref="C3" location="'Index of Results'!E71" display="Size optimization"/>
    <hyperlink ref="E80:F80" location="'Index of Results'!C12" display="Back to top"/>
    <hyperlink ref="E98:F98" location="'Index of Results'!C14" display="Back to top"/>
    <hyperlink ref="E116:F116" location="'Index of Results'!C16" display="Back to top"/>
    <hyperlink ref="E134:F134" location="'Index of Results'!C21" display="Back to top"/>
    <hyperlink ref="E152:F152" location="'Index of Results'!C25" display="Back to top"/>
    <hyperlink ref="E170:F170" location="'Index of Results'!C38" display="Back to top"/>
    <hyperlink ref="E188:F188" location="'Index of Results'!C39" display="Back to top"/>
    <hyperlink ref="E206:F206" location="'Index of Results'!C40" display="Back to top"/>
    <hyperlink ref="E224:F224" location="'Index of Results'!C41" display="Back to top"/>
    <hyperlink ref="E242:F242" location="'Index of Results'!C42" display="Back to top"/>
    <hyperlink ref="C12" location="'Index of Results'!E89" display="Root optimization"/>
    <hyperlink ref="C14" location="'Index of Results'!E107" display="Generate factor base"/>
    <hyperlink ref="C16" location="'Index of Results'!E125" display="Generate free relations"/>
    <hyperlink ref="C20" location="'Index of Results'!E143" display="MurphyE of poly found:"/>
    <hyperlink ref="C25" location="'Index of Results'!E161" display="Lattice Sieving"/>
    <hyperlink ref="C38" location="'Index of Results'!E179" display="Duplicate Removal, splitting pass:"/>
    <hyperlink ref="C39" location="'Index of Results'!E197" display="Duplicate Removal, removal pass:"/>
    <hyperlink ref="C40" location="'Index of Results'!E215" display="Singleton removal"/>
    <hyperlink ref="C41" location="'Index of Results'!E233" display="Merging - merge"/>
    <hyperlink ref="C42" location="'Index of Results'!E251" display="Merging - replay"/>
    <hyperlink ref="E260:F260" location="'Index of Results'!C47" display="Back to top"/>
    <hyperlink ref="C47" location="'Index of Results'!E269" display="Total"/>
    <hyperlink ref="E278:F278" location="'Index of Results'!C48" display="Back to top"/>
    <hyperlink ref="C48" location="'Index of Results'!E287" display="Quadratic"/>
    <hyperlink ref="E296:F296" location="'Index of Results'!C49" display="Back to top"/>
    <hyperlink ref="C49" location="'Index of Results'!E305" display="Square root"/>
    <hyperlink ref="E314:F314" location="'Index of Results'!C49" display="Back to top"/>
    <hyperlink ref="C56" location="'Index of Results'!E333" display="Polynomial selection"/>
  </hyperlink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workbookViewId="0"/>
  </sheetViews>
  <sheetFormatPr defaultRowHeight="15" x14ac:dyDescent="0.25"/>
  <cols>
    <col min="1" max="1" width="9.140625" style="2"/>
    <col min="2" max="2" width="32.85546875" style="2" bestFit="1" customWidth="1"/>
    <col min="3" max="16384" width="9.140625" style="2"/>
  </cols>
  <sheetData>
    <row r="1" spans="2:4" x14ac:dyDescent="0.25">
      <c r="C1" s="97" t="s">
        <v>1362</v>
      </c>
    </row>
    <row r="2" spans="2:4" x14ac:dyDescent="0.25">
      <c r="B2" s="57" t="s">
        <v>38</v>
      </c>
      <c r="C2" s="98" t="s">
        <v>37</v>
      </c>
      <c r="D2" s="2" t="s">
        <v>39</v>
      </c>
    </row>
    <row r="5" spans="2:4" x14ac:dyDescent="0.25">
      <c r="B5" s="2" t="s">
        <v>1356</v>
      </c>
      <c r="C5" s="2" t="s">
        <v>1357</v>
      </c>
    </row>
    <row r="6" spans="2:4" x14ac:dyDescent="0.25">
      <c r="B6" s="2" t="s">
        <v>1358</v>
      </c>
      <c r="C6" s="2" t="s">
        <v>1359</v>
      </c>
    </row>
    <row r="7" spans="2:4" x14ac:dyDescent="0.25">
      <c r="B7" s="2" t="s">
        <v>1360</v>
      </c>
      <c r="C7" s="2" t="s">
        <v>1361</v>
      </c>
    </row>
    <row r="8" spans="2:4" x14ac:dyDescent="0.25">
      <c r="B8" s="2" t="s">
        <v>1406</v>
      </c>
      <c r="C8" s="2" t="s">
        <v>1407</v>
      </c>
    </row>
  </sheetData>
  <hyperlinks>
    <hyperlink ref="C2" location="Contents!A1" display="Contents"/>
    <hyperlink ref="B2" location="'Index of Results'!A1" display="Prev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Contents</vt:lpstr>
      <vt:lpstr>c30</vt:lpstr>
      <vt:lpstr>c60</vt:lpstr>
      <vt:lpstr>c65</vt:lpstr>
      <vt:lpstr>c70</vt:lpstr>
      <vt:lpstr>c75</vt:lpstr>
      <vt:lpstr>c80</vt:lpstr>
      <vt:lpstr>c85</vt:lpstr>
      <vt:lpstr>c90</vt:lpstr>
      <vt:lpstr>c95</vt:lpstr>
      <vt:lpstr>c100</vt:lpstr>
      <vt:lpstr>c105</vt:lpstr>
      <vt:lpstr>c110</vt:lpstr>
      <vt:lpstr>c115</vt:lpstr>
      <vt:lpstr>c120</vt:lpstr>
      <vt:lpstr>c125</vt:lpstr>
      <vt:lpstr>c130</vt:lpstr>
      <vt:lpstr>c135</vt:lpstr>
      <vt:lpstr>c140</vt:lpstr>
      <vt:lpstr>c145</vt:lpstr>
      <vt:lpstr>c150</vt:lpstr>
      <vt:lpstr>c155</vt:lpstr>
      <vt:lpstr>c160</vt:lpstr>
      <vt:lpstr>c165</vt:lpstr>
      <vt:lpstr>c170</vt:lpstr>
      <vt:lpstr>c175</vt:lpstr>
      <vt:lpstr>c180</vt:lpstr>
      <vt:lpstr>c185</vt:lpstr>
      <vt:lpstr>c190</vt:lpstr>
      <vt:lpstr>c195</vt:lpstr>
      <vt:lpstr>c200</vt:lpstr>
      <vt:lpstr>c205</vt:lpstr>
      <vt:lpstr>c210</vt:lpstr>
      <vt:lpstr>c220</vt:lpstr>
      <vt:lpstr>c230</vt:lpstr>
      <vt:lpstr>c270</vt:lpstr>
      <vt:lpstr>c310</vt:lpstr>
      <vt:lpstr>c320</vt:lpstr>
      <vt:lpstr>Index of Integers</vt:lpstr>
      <vt:lpstr>Index of Parameters</vt:lpstr>
      <vt:lpstr>Index of Results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2024-03-18T15:44:12Z</dcterms:modified>
</cp:coreProperties>
</file>